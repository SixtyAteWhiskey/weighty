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Weight Graph" sheetId="2" r:id="rId6"/>
    <sheet state="visible" name="Weekly CalWeigh in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1">
      <text>
        <t xml:space="preserve">Add this at the end of the week.
For instance if you weigh in at 3/1/26, you would enter the cals for the week at the end of day on 3/8/26</t>
      </text>
    </comment>
    <comment authorId="0" ref="E13">
      <text>
        <t xml:space="preserve">Remember the first week of weight loss may be drastic. (~7-10 lbs)
This is from glycogen depletion and water loss, dont expect to lose weight at this rate!</t>
      </text>
    </comment>
  </commentList>
</comments>
</file>

<file path=xl/sharedStrings.xml><?xml version="1.0" encoding="utf-8"?>
<sst xmlns="http://schemas.openxmlformats.org/spreadsheetml/2006/main" count="58" uniqueCount="55">
  <si>
    <t>Age</t>
  </si>
  <si>
    <t>=</t>
  </si>
  <si>
    <t>Enter Info</t>
  </si>
  <si>
    <t>Original idea based on  u/lifesshortstraw's design!</t>
  </si>
  <si>
    <t>Start date</t>
  </si>
  <si>
    <t>Enter Info once</t>
  </si>
  <si>
    <t>Start weight (lbs)</t>
  </si>
  <si>
    <t>Automatic Calculations</t>
  </si>
  <si>
    <t>BMI</t>
  </si>
  <si>
    <t>Information only</t>
  </si>
  <si>
    <t>Height (inches)</t>
  </si>
  <si>
    <t>Calorie goal</t>
  </si>
  <si>
    <t>BMR</t>
  </si>
  <si>
    <t>TDEE Estimates</t>
  </si>
  <si>
    <t>Lose (2lbs/wk)</t>
  </si>
  <si>
    <t>Desk job</t>
  </si>
  <si>
    <t>Exercise 1-2 days/wk</t>
  </si>
  <si>
    <t>Exercise 3-5 days/wk</t>
  </si>
  <si>
    <t>Exercise 6-7 days/wk</t>
  </si>
  <si>
    <t>Loss est. on 1lb fat = 3500 cals</t>
  </si>
  <si>
    <t>Date</t>
  </si>
  <si>
    <t>Expected Weight</t>
  </si>
  <si>
    <t>Expected BMI</t>
  </si>
  <si>
    <t>Actual Weight</t>
  </si>
  <si>
    <t>Actual BMI</t>
  </si>
  <si>
    <t>Current BMR</t>
  </si>
  <si>
    <t>Sedentary (1.2)</t>
  </si>
  <si>
    <t>Lightly Active (1.3)</t>
  </si>
  <si>
    <t>Moderately Active (1.5)</t>
  </si>
  <si>
    <t>Intensly Active (1.7)</t>
  </si>
  <si>
    <t>End of Week, Total cal consumed</t>
  </si>
  <si>
    <t>Week Deficit based on BMR</t>
  </si>
  <si>
    <t>Week Deficit based on 1.2</t>
  </si>
  <si>
    <t>Week Deficit based on 1.3</t>
  </si>
  <si>
    <t>Week Deficit based on 1.5</t>
  </si>
  <si>
    <t>Week Deficit based on 1.7</t>
  </si>
  <si>
    <t>Lb of Fat based on BMR</t>
  </si>
  <si>
    <t>Lb of Fat based on 1.2</t>
  </si>
  <si>
    <t>Lb of Fat based on 1.3</t>
  </si>
  <si>
    <t>Lb of Fat based on 1.5</t>
  </si>
  <si>
    <t>Lb of Fat based on 1.7</t>
  </si>
  <si>
    <t>Start!</t>
  </si>
  <si>
    <t>Use this tab to help calculate your weekly averages and totals for the week.</t>
  </si>
  <si>
    <t>Enter Current date &gt;</t>
  </si>
  <si>
    <t>Mon.</t>
  </si>
  <si>
    <t>Tue.</t>
  </si>
  <si>
    <t>Wed.</t>
  </si>
  <si>
    <t>Thur.</t>
  </si>
  <si>
    <t>Fri.</t>
  </si>
  <si>
    <t>Sat.</t>
  </si>
  <si>
    <t>Sun.</t>
  </si>
  <si>
    <t>Average</t>
  </si>
  <si>
    <t>Total</t>
  </si>
  <si>
    <t>Weight (lbs)</t>
  </si>
  <si>
    <t>Calories for the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</si>
</sst>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0" fillId="3" fontId="2" numFmtId="0" xfId="0" applyAlignment="1" applyFill="1" applyFont="1">
      <alignment readingOrder="0"/>
    </xf>
    <xf borderId="2" fillId="4" fontId="2" numFmtId="0" xfId="0" applyBorder="1" applyFill="1" applyFont="1"/>
    <xf quotePrefix="1" borderId="3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5" fillId="5" fontId="2" numFmtId="0" xfId="0" applyBorder="1" applyFill="1" applyFont="1"/>
    <xf borderId="5" fillId="5" fontId="2" numFmtId="0" xfId="0" applyAlignment="1" applyBorder="1" applyFont="1">
      <alignment horizontal="center" readingOrder="0"/>
    </xf>
    <xf borderId="6" fillId="5" fontId="2" numFmtId="0" xfId="0" applyBorder="1" applyFont="1"/>
    <xf borderId="1" fillId="2" fontId="1" numFmtId="0" xfId="0" applyAlignment="1" applyBorder="1" applyFont="1">
      <alignment vertical="bottom"/>
    </xf>
    <xf borderId="0" fillId="3" fontId="2" numFmtId="164" xfId="0" applyAlignment="1" applyFont="1" applyNumberFormat="1">
      <alignment readingOrder="0"/>
    </xf>
    <xf borderId="7" fillId="3" fontId="2" numFmtId="0" xfId="0" applyBorder="1" applyFont="1"/>
    <xf quotePrefix="1" borderId="0" fillId="0" fontId="2" numFmtId="0" xfId="0" applyAlignment="1" applyFont="1">
      <alignment horizontal="center" readingOrder="0"/>
    </xf>
    <xf borderId="8" fillId="0" fontId="2" numFmtId="0" xfId="0" applyAlignment="1" applyBorder="1" applyFont="1">
      <alignment readingOrder="0"/>
    </xf>
    <xf borderId="1" fillId="2" fontId="1" numFmtId="0" xfId="0" applyAlignment="1" applyBorder="1" applyFont="1">
      <alignment vertical="bottom"/>
    </xf>
    <xf borderId="7" fillId="6" fontId="2" numFmtId="0" xfId="0" applyBorder="1" applyFill="1" applyFont="1"/>
    <xf borderId="0" fillId="6" fontId="2" numFmtId="0" xfId="0" applyFont="1"/>
    <xf borderId="9" fillId="5" fontId="2" numFmtId="0" xfId="0" applyBorder="1" applyFont="1"/>
    <xf quotePrefix="1" borderId="10" fillId="0" fontId="2" numFmtId="0" xfId="0" applyAlignment="1" applyBorder="1" applyFont="1">
      <alignment horizontal="center" readingOrder="0"/>
    </xf>
    <xf borderId="1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5" fontId="2" numFmtId="0" xfId="0" applyAlignment="1" applyBorder="1" applyFont="1">
      <alignment readingOrder="0"/>
    </xf>
    <xf borderId="1" fillId="5" fontId="2" numFmtId="0" xfId="0" applyAlignment="1" applyBorder="1" applyFont="1">
      <alignment horizontal="center" readingOrder="0"/>
    </xf>
    <xf borderId="12" fillId="5" fontId="2" numFmtId="0" xfId="0" applyAlignment="1" applyBorder="1" applyFont="1">
      <alignment horizontal="center" readingOrder="0"/>
    </xf>
    <xf borderId="6" fillId="5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5" fillId="7" fontId="2" numFmtId="0" xfId="0" applyAlignment="1" applyBorder="1" applyFill="1" applyFont="1">
      <alignment horizontal="center" readingOrder="0"/>
    </xf>
    <xf borderId="12" fillId="7" fontId="2" numFmtId="0" xfId="0" applyAlignment="1" applyBorder="1" applyFont="1">
      <alignment horizontal="center" readingOrder="0"/>
    </xf>
    <xf borderId="10" fillId="7" fontId="2" numFmtId="0" xfId="0" applyAlignment="1" applyBorder="1" applyFont="1">
      <alignment horizontal="center" readingOrder="0"/>
    </xf>
    <xf borderId="13" fillId="7" fontId="2" numFmtId="0" xfId="0" applyAlignment="1" applyBorder="1" applyFont="1">
      <alignment horizontal="center" readingOrder="0"/>
    </xf>
    <xf borderId="0" fillId="6" fontId="2" numFmtId="164" xfId="0" applyAlignment="1" applyFont="1" applyNumberFormat="1">
      <alignment horizontal="center"/>
    </xf>
    <xf borderId="0" fillId="6" fontId="2" numFmtId="0" xfId="0" applyAlignment="1" applyFont="1">
      <alignment horizontal="center" readingOrder="0"/>
    </xf>
    <xf borderId="0" fillId="6" fontId="2" numFmtId="0" xfId="0" applyAlignment="1" applyFont="1">
      <alignment horizontal="center"/>
    </xf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5" fillId="5" fontId="2" numFmtId="0" xfId="0" applyAlignment="1" applyBorder="1" applyFont="1">
      <alignment readingOrder="0"/>
    </xf>
    <xf borderId="12" fillId="5" fontId="2" numFmtId="0" xfId="0" applyBorder="1" applyFont="1"/>
    <xf borderId="0" fillId="5" fontId="2" numFmtId="0" xfId="0" applyAlignment="1" applyFont="1">
      <alignment readingOrder="0"/>
    </xf>
    <xf borderId="0" fillId="4" fontId="2" numFmtId="164" xfId="0" applyAlignment="1" applyFont="1" applyNumberFormat="1">
      <alignment horizontal="center" readingOrder="0"/>
    </xf>
    <xf borderId="5" fillId="2" fontId="2" numFmtId="0" xfId="0" applyBorder="1" applyFont="1"/>
    <xf borderId="12" fillId="2" fontId="2" numFmtId="0" xfId="0" applyAlignment="1" applyBorder="1" applyFont="1">
      <alignment horizontal="center" readingOrder="0"/>
    </xf>
    <xf borderId="6" fillId="2" fontId="2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center" readingOrder="0"/>
    </xf>
    <xf borderId="14" fillId="2" fontId="2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center"/>
    </xf>
    <xf borderId="1" fillId="8" fontId="2" numFmtId="0" xfId="0" applyBorder="1" applyFill="1" applyFont="1"/>
    <xf borderId="13" fillId="2" fontId="2" numFmtId="0" xfId="0" applyAlignment="1" applyBorder="1" applyFont="1">
      <alignment horizontal="center" readingOrder="0"/>
    </xf>
    <xf borderId="10" fillId="4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38100</xdr:rowOff>
    </xdr:from>
    <xdr:ext cx="17297400" cy="10687050"/>
    <xdr:pic>
      <xdr:nvPicPr>
        <xdr:cNvPr id="202977311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15.75"/>
    <col customWidth="1" min="4" max="4" width="18.0"/>
    <col customWidth="1" min="5" max="5" width="19.63"/>
    <col customWidth="1" min="6" max="6" width="17.63"/>
    <col customWidth="1" min="7" max="7" width="18.63"/>
    <col customWidth="1" min="8" max="8" width="22.5"/>
    <col customWidth="1" min="9" max="9" width="25.5"/>
    <col customWidth="1" min="10" max="10" width="25.38"/>
    <col customWidth="1" min="11" max="11" width="25.5"/>
    <col customWidth="1" min="12" max="12" width="26.63"/>
    <col customWidth="1" min="13" max="13" width="25.63"/>
    <col customWidth="1" min="14" max="14" width="25.13"/>
    <col customWidth="1" min="15" max="15" width="25.25"/>
    <col customWidth="1" min="16" max="16" width="25.63"/>
    <col customWidth="1" min="17" max="17" width="25.38"/>
    <col customWidth="1" min="18" max="18" width="26.5"/>
    <col customWidth="1" min="19" max="19" width="25.0"/>
    <col customWidth="1" min="20" max="20" width="25.13"/>
    <col customWidth="1" min="21" max="21" width="25.5"/>
    <col customWidth="1" min="22" max="22" width="25.13"/>
  </cols>
  <sheetData>
    <row r="2">
      <c r="B2" s="1" t="s">
        <v>0</v>
      </c>
      <c r="C2" s="2">
        <v>27.0</v>
      </c>
      <c r="E2" s="3"/>
      <c r="F2" s="4" t="s">
        <v>1</v>
      </c>
      <c r="G2" s="5" t="s">
        <v>2</v>
      </c>
      <c r="H2" s="6"/>
      <c r="I2" s="7" t="s">
        <v>3</v>
      </c>
      <c r="J2" s="8"/>
    </row>
    <row r="3">
      <c r="B3" s="9" t="s">
        <v>4</v>
      </c>
      <c r="C3" s="10">
        <v>46075.0</v>
      </c>
      <c r="E3" s="11"/>
      <c r="F3" s="12" t="s">
        <v>1</v>
      </c>
      <c r="G3" s="13" t="s">
        <v>5</v>
      </c>
    </row>
    <row r="4">
      <c r="B4" s="14" t="s">
        <v>6</v>
      </c>
      <c r="C4" s="2">
        <v>260.0</v>
      </c>
      <c r="E4" s="15"/>
      <c r="F4" s="12" t="s">
        <v>1</v>
      </c>
      <c r="G4" s="13" t="s">
        <v>7</v>
      </c>
    </row>
    <row r="5">
      <c r="B5" s="14" t="s">
        <v>8</v>
      </c>
      <c r="C5" s="16">
        <f>703 * (C4)/(C6)^2</f>
        <v>31.64473684</v>
      </c>
      <c r="E5" s="17"/>
      <c r="F5" s="18" t="s">
        <v>1</v>
      </c>
      <c r="G5" s="19" t="s">
        <v>9</v>
      </c>
    </row>
    <row r="6">
      <c r="B6" s="14" t="s">
        <v>10</v>
      </c>
      <c r="C6" s="2">
        <v>76.0</v>
      </c>
      <c r="F6" s="20"/>
    </row>
    <row r="7">
      <c r="B7" s="14" t="s">
        <v>11</v>
      </c>
      <c r="C7" s="2">
        <v>2100.0</v>
      </c>
    </row>
    <row r="8">
      <c r="B8" s="1" t="s">
        <v>12</v>
      </c>
      <c r="C8" s="16">
        <f>4.38*(C4)+14.55*(C6)-5.08*(C2)+260</f>
        <v>2367.44</v>
      </c>
    </row>
    <row r="9">
      <c r="H9" s="21" t="s">
        <v>13</v>
      </c>
    </row>
    <row r="10">
      <c r="C10" s="22" t="s">
        <v>14</v>
      </c>
      <c r="H10" s="7" t="s">
        <v>15</v>
      </c>
      <c r="I10" s="23" t="s">
        <v>16</v>
      </c>
      <c r="J10" s="23" t="s">
        <v>17</v>
      </c>
      <c r="K10" s="24" t="s">
        <v>18</v>
      </c>
      <c r="L10" s="25"/>
      <c r="R10" s="21" t="s">
        <v>19</v>
      </c>
    </row>
    <row r="11">
      <c r="B11" s="26" t="s">
        <v>20</v>
      </c>
      <c r="C11" s="27" t="s">
        <v>21</v>
      </c>
      <c r="D11" s="27" t="s">
        <v>22</v>
      </c>
      <c r="E11" s="27" t="s">
        <v>23</v>
      </c>
      <c r="F11" s="27" t="s">
        <v>24</v>
      </c>
      <c r="G11" s="27" t="s">
        <v>25</v>
      </c>
      <c r="H11" s="27" t="s">
        <v>26</v>
      </c>
      <c r="I11" s="27" t="s">
        <v>27</v>
      </c>
      <c r="J11" s="27" t="s">
        <v>28</v>
      </c>
      <c r="K11" s="27" t="s">
        <v>29</v>
      </c>
      <c r="L11" s="27" t="s">
        <v>30</v>
      </c>
      <c r="M11" s="27" t="s">
        <v>31</v>
      </c>
      <c r="N11" s="27" t="s">
        <v>32</v>
      </c>
      <c r="O11" s="27" t="s">
        <v>33</v>
      </c>
      <c r="P11" s="27" t="s">
        <v>34</v>
      </c>
      <c r="Q11" s="27" t="s">
        <v>35</v>
      </c>
      <c r="R11" s="28" t="s">
        <v>36</v>
      </c>
      <c r="S11" s="28" t="s">
        <v>37</v>
      </c>
      <c r="T11" s="28" t="s">
        <v>38</v>
      </c>
      <c r="U11" s="28" t="s">
        <v>39</v>
      </c>
      <c r="V11" s="29" t="s">
        <v>40</v>
      </c>
    </row>
    <row r="12">
      <c r="A12" s="22" t="s">
        <v>41</v>
      </c>
      <c r="B12" s="30">
        <f>C3</f>
        <v>46075</v>
      </c>
      <c r="C12" s="31">
        <f>C4</f>
        <v>260</v>
      </c>
      <c r="D12" s="32">
        <f t="shared" ref="D12:D64" si="2">C12/($C$6*$C$6)*703</f>
        <v>31.64473684</v>
      </c>
      <c r="E12" s="33">
        <v>260.0</v>
      </c>
      <c r="F12" s="32">
        <f>703 * (E12)/(C6)^2</f>
        <v>31.64473684</v>
      </c>
      <c r="G12" s="32">
        <f>4.38*(E12)+14.55*(C6)-5.08*(C2)+260</f>
        <v>2367.44</v>
      </c>
      <c r="H12" s="32">
        <f t="shared" ref="H12:H64" si="3">1.2*(4.38*(E12)+14.55*($C$6)-5.08*($C$2)+260)</f>
        <v>2840.928</v>
      </c>
      <c r="I12" s="32">
        <f t="shared" ref="I12:I64" si="4">1.3*(4.38*(E12)+14.55*($C$6)-5.08*($C$2)+260)</f>
        <v>3077.672</v>
      </c>
      <c r="J12" s="32">
        <f t="shared" ref="J12:J64" si="5">1.5*(4.38*(E12)+14.55*($C$6)-5.08*($C$2)+260)</f>
        <v>3551.16</v>
      </c>
      <c r="K12" s="32">
        <f t="shared" ref="K12:K64" si="6">1.7*(4.38*(E12)+14.55*($C$6)-5.08*($C$2)+260)</f>
        <v>4024.648</v>
      </c>
      <c r="L12" s="33">
        <v>13805.0</v>
      </c>
      <c r="M12" s="32">
        <f t="shared" ref="M12:M64" si="7">7*(4.38*(E12)+14.55*($C$6)-5.08*($C$2)+260)-L12</f>
        <v>2767.08</v>
      </c>
      <c r="N12" s="32">
        <f t="shared" ref="N12:N64" si="8">(7*(1.2*(4.38*(E12)+14.55*($C$6)-5.08*($C$2)+260)))-L12</f>
        <v>6081.496</v>
      </c>
      <c r="O12" s="32">
        <f t="shared" ref="O12:O64" si="9">7*(1.3*(4.38*(E12)+14.55*($C$6)-5.08*($C$2)+260))-L12</f>
        <v>7738.704</v>
      </c>
      <c r="P12" s="32">
        <f t="shared" ref="P12:P64" si="10">(7*(1.5*(4.38*(E12)+14.55*($C$6)-5.08*($C$2)+260)))-L12</f>
        <v>11053.12</v>
      </c>
      <c r="Q12" s="32">
        <f t="shared" ref="Q12:Q64" si="11">(7*(1.7*(4.38*(E12)+14.55*($C$6)-5.08*($C$2)+260)))-L12</f>
        <v>14367.536</v>
      </c>
      <c r="R12" s="32">
        <f t="shared" ref="R12:V12" si="1">M12/3500</f>
        <v>0.7905942857</v>
      </c>
      <c r="S12" s="32">
        <f t="shared" si="1"/>
        <v>1.737570286</v>
      </c>
      <c r="T12" s="32">
        <f t="shared" si="1"/>
        <v>2.211058286</v>
      </c>
      <c r="U12" s="32">
        <f t="shared" si="1"/>
        <v>3.158034286</v>
      </c>
      <c r="V12" s="32">
        <f t="shared" si="1"/>
        <v>4.105010286</v>
      </c>
    </row>
    <row r="13">
      <c r="B13" s="30">
        <f t="shared" ref="B13:B64" si="13">(B12+7)</f>
        <v>46082</v>
      </c>
      <c r="C13" s="31">
        <f t="shared" ref="C13:C64" si="14">(C12-2)</f>
        <v>258</v>
      </c>
      <c r="D13" s="32">
        <f t="shared" si="2"/>
        <v>31.40131579</v>
      </c>
      <c r="E13" s="33">
        <v>252.7</v>
      </c>
      <c r="F13" s="32">
        <f t="shared" ref="F13:F64" si="15">E13/($C$6*$C$6)*703</f>
        <v>30.75625</v>
      </c>
      <c r="G13" s="32">
        <f t="shared" ref="G13:G37" si="16">4.38*(E13)+14.55*($C$6)-5.08*($C$2)+260</f>
        <v>2335.466</v>
      </c>
      <c r="H13" s="32">
        <f t="shared" si="3"/>
        <v>2802.5592</v>
      </c>
      <c r="I13" s="32">
        <f t="shared" si="4"/>
        <v>3036.1058</v>
      </c>
      <c r="J13" s="32">
        <f t="shared" si="5"/>
        <v>3503.199</v>
      </c>
      <c r="K13" s="32">
        <f t="shared" si="6"/>
        <v>3970.2922</v>
      </c>
      <c r="L13" s="33"/>
      <c r="M13" s="32">
        <f t="shared" si="7"/>
        <v>16348.262</v>
      </c>
      <c r="N13" s="32">
        <f t="shared" si="8"/>
        <v>19617.9144</v>
      </c>
      <c r="O13" s="32">
        <f t="shared" si="9"/>
        <v>21252.7406</v>
      </c>
      <c r="P13" s="32">
        <f t="shared" si="10"/>
        <v>24522.393</v>
      </c>
      <c r="Q13" s="32">
        <f t="shared" si="11"/>
        <v>27792.0454</v>
      </c>
      <c r="R13" s="32">
        <f t="shared" ref="R13:V13" si="12">M13/3500</f>
        <v>4.670932</v>
      </c>
      <c r="S13" s="32">
        <f t="shared" si="12"/>
        <v>5.6051184</v>
      </c>
      <c r="T13" s="32">
        <f t="shared" si="12"/>
        <v>6.0722116</v>
      </c>
      <c r="U13" s="32">
        <f t="shared" si="12"/>
        <v>7.006398</v>
      </c>
      <c r="V13" s="32">
        <f t="shared" si="12"/>
        <v>7.9405844</v>
      </c>
    </row>
    <row r="14">
      <c r="B14" s="30">
        <f t="shared" si="13"/>
        <v>46089</v>
      </c>
      <c r="C14" s="31">
        <f t="shared" si="14"/>
        <v>256</v>
      </c>
      <c r="D14" s="32">
        <f t="shared" si="2"/>
        <v>31.15789474</v>
      </c>
      <c r="E14" s="33"/>
      <c r="F14" s="32">
        <f t="shared" si="15"/>
        <v>0</v>
      </c>
      <c r="G14" s="32">
        <f t="shared" si="16"/>
        <v>1228.64</v>
      </c>
      <c r="H14" s="32">
        <f t="shared" si="3"/>
        <v>1474.368</v>
      </c>
      <c r="I14" s="32">
        <f t="shared" si="4"/>
        <v>1597.232</v>
      </c>
      <c r="J14" s="32">
        <f t="shared" si="5"/>
        <v>1842.96</v>
      </c>
      <c r="K14" s="32">
        <f t="shared" si="6"/>
        <v>2088.688</v>
      </c>
      <c r="L14" s="33"/>
      <c r="M14" s="32">
        <f t="shared" si="7"/>
        <v>8600.48</v>
      </c>
      <c r="N14" s="32">
        <f t="shared" si="8"/>
        <v>10320.576</v>
      </c>
      <c r="O14" s="32">
        <f t="shared" si="9"/>
        <v>11180.624</v>
      </c>
      <c r="P14" s="32">
        <f t="shared" si="10"/>
        <v>12900.72</v>
      </c>
      <c r="Q14" s="32">
        <f t="shared" si="11"/>
        <v>14620.816</v>
      </c>
      <c r="R14" s="32">
        <f t="shared" ref="R14:V14" si="17">M14/3500</f>
        <v>2.45728</v>
      </c>
      <c r="S14" s="32">
        <f t="shared" si="17"/>
        <v>2.948736</v>
      </c>
      <c r="T14" s="32">
        <f t="shared" si="17"/>
        <v>3.194464</v>
      </c>
      <c r="U14" s="32">
        <f t="shared" si="17"/>
        <v>3.68592</v>
      </c>
      <c r="V14" s="32">
        <f t="shared" si="17"/>
        <v>4.177376</v>
      </c>
    </row>
    <row r="15">
      <c r="B15" s="30">
        <f t="shared" si="13"/>
        <v>46096</v>
      </c>
      <c r="C15" s="31">
        <f t="shared" si="14"/>
        <v>254</v>
      </c>
      <c r="D15" s="32">
        <f t="shared" si="2"/>
        <v>30.91447368</v>
      </c>
      <c r="E15" s="33"/>
      <c r="F15" s="32">
        <f t="shared" si="15"/>
        <v>0</v>
      </c>
      <c r="G15" s="32">
        <f t="shared" si="16"/>
        <v>1228.64</v>
      </c>
      <c r="H15" s="32">
        <f t="shared" si="3"/>
        <v>1474.368</v>
      </c>
      <c r="I15" s="32">
        <f t="shared" si="4"/>
        <v>1597.232</v>
      </c>
      <c r="J15" s="32">
        <f t="shared" si="5"/>
        <v>1842.96</v>
      </c>
      <c r="K15" s="32">
        <f t="shared" si="6"/>
        <v>2088.688</v>
      </c>
      <c r="L15" s="34"/>
      <c r="M15" s="32">
        <f t="shared" si="7"/>
        <v>8600.48</v>
      </c>
      <c r="N15" s="32">
        <f t="shared" si="8"/>
        <v>10320.576</v>
      </c>
      <c r="O15" s="32">
        <f t="shared" si="9"/>
        <v>11180.624</v>
      </c>
      <c r="P15" s="32">
        <f t="shared" si="10"/>
        <v>12900.72</v>
      </c>
      <c r="Q15" s="32">
        <f t="shared" si="11"/>
        <v>14620.816</v>
      </c>
      <c r="R15" s="32">
        <f t="shared" ref="R15:V15" si="18">M15/3500</f>
        <v>2.45728</v>
      </c>
      <c r="S15" s="32">
        <f t="shared" si="18"/>
        <v>2.948736</v>
      </c>
      <c r="T15" s="32">
        <f t="shared" si="18"/>
        <v>3.194464</v>
      </c>
      <c r="U15" s="32">
        <f t="shared" si="18"/>
        <v>3.68592</v>
      </c>
      <c r="V15" s="32">
        <f t="shared" si="18"/>
        <v>4.177376</v>
      </c>
    </row>
    <row r="16">
      <c r="B16" s="30">
        <f t="shared" si="13"/>
        <v>46103</v>
      </c>
      <c r="C16" s="31">
        <f t="shared" si="14"/>
        <v>252</v>
      </c>
      <c r="D16" s="32">
        <f t="shared" si="2"/>
        <v>30.67105263</v>
      </c>
      <c r="E16" s="33"/>
      <c r="F16" s="32">
        <f t="shared" si="15"/>
        <v>0</v>
      </c>
      <c r="G16" s="32">
        <f t="shared" si="16"/>
        <v>1228.64</v>
      </c>
      <c r="H16" s="32">
        <f t="shared" si="3"/>
        <v>1474.368</v>
      </c>
      <c r="I16" s="32">
        <f t="shared" si="4"/>
        <v>1597.232</v>
      </c>
      <c r="J16" s="32">
        <f t="shared" si="5"/>
        <v>1842.96</v>
      </c>
      <c r="K16" s="32">
        <f t="shared" si="6"/>
        <v>2088.688</v>
      </c>
      <c r="L16" s="34"/>
      <c r="M16" s="32">
        <f t="shared" si="7"/>
        <v>8600.48</v>
      </c>
      <c r="N16" s="32">
        <f t="shared" si="8"/>
        <v>10320.576</v>
      </c>
      <c r="O16" s="32">
        <f t="shared" si="9"/>
        <v>11180.624</v>
      </c>
      <c r="P16" s="32">
        <f t="shared" si="10"/>
        <v>12900.72</v>
      </c>
      <c r="Q16" s="32">
        <f t="shared" si="11"/>
        <v>14620.816</v>
      </c>
      <c r="R16" s="32">
        <f t="shared" ref="R16:V16" si="19">M16/3500</f>
        <v>2.45728</v>
      </c>
      <c r="S16" s="32">
        <f t="shared" si="19"/>
        <v>2.948736</v>
      </c>
      <c r="T16" s="32">
        <f t="shared" si="19"/>
        <v>3.194464</v>
      </c>
      <c r="U16" s="32">
        <f t="shared" si="19"/>
        <v>3.68592</v>
      </c>
      <c r="V16" s="32">
        <f t="shared" si="19"/>
        <v>4.177376</v>
      </c>
    </row>
    <row r="17">
      <c r="B17" s="30">
        <f t="shared" si="13"/>
        <v>46110</v>
      </c>
      <c r="C17" s="31">
        <f t="shared" si="14"/>
        <v>250</v>
      </c>
      <c r="D17" s="32">
        <f t="shared" si="2"/>
        <v>30.42763158</v>
      </c>
      <c r="E17" s="33"/>
      <c r="F17" s="32">
        <f t="shared" si="15"/>
        <v>0</v>
      </c>
      <c r="G17" s="32">
        <f t="shared" si="16"/>
        <v>1228.64</v>
      </c>
      <c r="H17" s="32">
        <f t="shared" si="3"/>
        <v>1474.368</v>
      </c>
      <c r="I17" s="32">
        <f t="shared" si="4"/>
        <v>1597.232</v>
      </c>
      <c r="J17" s="32">
        <f t="shared" si="5"/>
        <v>1842.96</v>
      </c>
      <c r="K17" s="32">
        <f t="shared" si="6"/>
        <v>2088.688</v>
      </c>
      <c r="L17" s="34"/>
      <c r="M17" s="32">
        <f t="shared" si="7"/>
        <v>8600.48</v>
      </c>
      <c r="N17" s="32">
        <f t="shared" si="8"/>
        <v>10320.576</v>
      </c>
      <c r="O17" s="32">
        <f t="shared" si="9"/>
        <v>11180.624</v>
      </c>
      <c r="P17" s="32">
        <f t="shared" si="10"/>
        <v>12900.72</v>
      </c>
      <c r="Q17" s="32">
        <f t="shared" si="11"/>
        <v>14620.816</v>
      </c>
      <c r="R17" s="32">
        <f t="shared" ref="R17:V17" si="20">M17/3500</f>
        <v>2.45728</v>
      </c>
      <c r="S17" s="32">
        <f t="shared" si="20"/>
        <v>2.948736</v>
      </c>
      <c r="T17" s="32">
        <f t="shared" si="20"/>
        <v>3.194464</v>
      </c>
      <c r="U17" s="32">
        <f t="shared" si="20"/>
        <v>3.68592</v>
      </c>
      <c r="V17" s="32">
        <f t="shared" si="20"/>
        <v>4.177376</v>
      </c>
    </row>
    <row r="18">
      <c r="B18" s="30">
        <f t="shared" si="13"/>
        <v>46117</v>
      </c>
      <c r="C18" s="31">
        <f t="shared" si="14"/>
        <v>248</v>
      </c>
      <c r="D18" s="32">
        <f t="shared" si="2"/>
        <v>30.18421053</v>
      </c>
      <c r="E18" s="33"/>
      <c r="F18" s="32">
        <f t="shared" si="15"/>
        <v>0</v>
      </c>
      <c r="G18" s="32">
        <f t="shared" si="16"/>
        <v>1228.64</v>
      </c>
      <c r="H18" s="32">
        <f t="shared" si="3"/>
        <v>1474.368</v>
      </c>
      <c r="I18" s="32">
        <f t="shared" si="4"/>
        <v>1597.232</v>
      </c>
      <c r="J18" s="32">
        <f t="shared" si="5"/>
        <v>1842.96</v>
      </c>
      <c r="K18" s="32">
        <f t="shared" si="6"/>
        <v>2088.688</v>
      </c>
      <c r="L18" s="34"/>
      <c r="M18" s="32">
        <f t="shared" si="7"/>
        <v>8600.48</v>
      </c>
      <c r="N18" s="32">
        <f t="shared" si="8"/>
        <v>10320.576</v>
      </c>
      <c r="O18" s="32">
        <f t="shared" si="9"/>
        <v>11180.624</v>
      </c>
      <c r="P18" s="32">
        <f t="shared" si="10"/>
        <v>12900.72</v>
      </c>
      <c r="Q18" s="32">
        <f t="shared" si="11"/>
        <v>14620.816</v>
      </c>
      <c r="R18" s="32">
        <f t="shared" ref="R18:V18" si="21">M18/3500</f>
        <v>2.45728</v>
      </c>
      <c r="S18" s="32">
        <f t="shared" si="21"/>
        <v>2.948736</v>
      </c>
      <c r="T18" s="32">
        <f t="shared" si="21"/>
        <v>3.194464</v>
      </c>
      <c r="U18" s="32">
        <f t="shared" si="21"/>
        <v>3.68592</v>
      </c>
      <c r="V18" s="32">
        <f t="shared" si="21"/>
        <v>4.177376</v>
      </c>
    </row>
    <row r="19">
      <c r="B19" s="30">
        <f t="shared" si="13"/>
        <v>46124</v>
      </c>
      <c r="C19" s="31">
        <f t="shared" si="14"/>
        <v>246</v>
      </c>
      <c r="D19" s="32">
        <f t="shared" si="2"/>
        <v>29.94078947</v>
      </c>
      <c r="E19" s="34"/>
      <c r="F19" s="32">
        <f t="shared" si="15"/>
        <v>0</v>
      </c>
      <c r="G19" s="32">
        <f t="shared" si="16"/>
        <v>1228.64</v>
      </c>
      <c r="H19" s="32">
        <f t="shared" si="3"/>
        <v>1474.368</v>
      </c>
      <c r="I19" s="32">
        <f t="shared" si="4"/>
        <v>1597.232</v>
      </c>
      <c r="J19" s="32">
        <f t="shared" si="5"/>
        <v>1842.96</v>
      </c>
      <c r="K19" s="32">
        <f t="shared" si="6"/>
        <v>2088.688</v>
      </c>
      <c r="L19" s="34"/>
      <c r="M19" s="32">
        <f t="shared" si="7"/>
        <v>8600.48</v>
      </c>
      <c r="N19" s="32">
        <f t="shared" si="8"/>
        <v>10320.576</v>
      </c>
      <c r="O19" s="32">
        <f t="shared" si="9"/>
        <v>11180.624</v>
      </c>
      <c r="P19" s="32">
        <f t="shared" si="10"/>
        <v>12900.72</v>
      </c>
      <c r="Q19" s="32">
        <f t="shared" si="11"/>
        <v>14620.816</v>
      </c>
      <c r="R19" s="32">
        <f t="shared" ref="R19:V19" si="22">M19/3500</f>
        <v>2.45728</v>
      </c>
      <c r="S19" s="32">
        <f t="shared" si="22"/>
        <v>2.948736</v>
      </c>
      <c r="T19" s="32">
        <f t="shared" si="22"/>
        <v>3.194464</v>
      </c>
      <c r="U19" s="32">
        <f t="shared" si="22"/>
        <v>3.68592</v>
      </c>
      <c r="V19" s="32">
        <f t="shared" si="22"/>
        <v>4.177376</v>
      </c>
    </row>
    <row r="20">
      <c r="B20" s="30">
        <f t="shared" si="13"/>
        <v>46131</v>
      </c>
      <c r="C20" s="31">
        <f t="shared" si="14"/>
        <v>244</v>
      </c>
      <c r="D20" s="32">
        <f t="shared" si="2"/>
        <v>29.69736842</v>
      </c>
      <c r="E20" s="34"/>
      <c r="F20" s="32">
        <f t="shared" si="15"/>
        <v>0</v>
      </c>
      <c r="G20" s="32">
        <f t="shared" si="16"/>
        <v>1228.64</v>
      </c>
      <c r="H20" s="32">
        <f t="shared" si="3"/>
        <v>1474.368</v>
      </c>
      <c r="I20" s="32">
        <f t="shared" si="4"/>
        <v>1597.232</v>
      </c>
      <c r="J20" s="32">
        <f t="shared" si="5"/>
        <v>1842.96</v>
      </c>
      <c r="K20" s="32">
        <f t="shared" si="6"/>
        <v>2088.688</v>
      </c>
      <c r="L20" s="34"/>
      <c r="M20" s="32">
        <f t="shared" si="7"/>
        <v>8600.48</v>
      </c>
      <c r="N20" s="32">
        <f t="shared" si="8"/>
        <v>10320.576</v>
      </c>
      <c r="O20" s="32">
        <f t="shared" si="9"/>
        <v>11180.624</v>
      </c>
      <c r="P20" s="32">
        <f t="shared" si="10"/>
        <v>12900.72</v>
      </c>
      <c r="Q20" s="32">
        <f t="shared" si="11"/>
        <v>14620.816</v>
      </c>
      <c r="R20" s="32">
        <f t="shared" ref="R20:V20" si="23">M20/3500</f>
        <v>2.45728</v>
      </c>
      <c r="S20" s="32">
        <f t="shared" si="23"/>
        <v>2.948736</v>
      </c>
      <c r="T20" s="32">
        <f t="shared" si="23"/>
        <v>3.194464</v>
      </c>
      <c r="U20" s="32">
        <f t="shared" si="23"/>
        <v>3.68592</v>
      </c>
      <c r="V20" s="32">
        <f t="shared" si="23"/>
        <v>4.177376</v>
      </c>
    </row>
    <row r="21">
      <c r="B21" s="30">
        <f t="shared" si="13"/>
        <v>46138</v>
      </c>
      <c r="C21" s="31">
        <f t="shared" si="14"/>
        <v>242</v>
      </c>
      <c r="D21" s="32">
        <f t="shared" si="2"/>
        <v>29.45394737</v>
      </c>
      <c r="E21" s="34"/>
      <c r="F21" s="32">
        <f t="shared" si="15"/>
        <v>0</v>
      </c>
      <c r="G21" s="32">
        <f t="shared" si="16"/>
        <v>1228.64</v>
      </c>
      <c r="H21" s="32">
        <f t="shared" si="3"/>
        <v>1474.368</v>
      </c>
      <c r="I21" s="32">
        <f t="shared" si="4"/>
        <v>1597.232</v>
      </c>
      <c r="J21" s="32">
        <f t="shared" si="5"/>
        <v>1842.96</v>
      </c>
      <c r="K21" s="32">
        <f t="shared" si="6"/>
        <v>2088.688</v>
      </c>
      <c r="L21" s="34"/>
      <c r="M21" s="32">
        <f t="shared" si="7"/>
        <v>8600.48</v>
      </c>
      <c r="N21" s="32">
        <f t="shared" si="8"/>
        <v>10320.576</v>
      </c>
      <c r="O21" s="32">
        <f t="shared" si="9"/>
        <v>11180.624</v>
      </c>
      <c r="P21" s="32">
        <f t="shared" si="10"/>
        <v>12900.72</v>
      </c>
      <c r="Q21" s="32">
        <f t="shared" si="11"/>
        <v>14620.816</v>
      </c>
      <c r="R21" s="32">
        <f t="shared" ref="R21:V21" si="24">M21/3500</f>
        <v>2.45728</v>
      </c>
      <c r="S21" s="32">
        <f t="shared" si="24"/>
        <v>2.948736</v>
      </c>
      <c r="T21" s="32">
        <f t="shared" si="24"/>
        <v>3.194464</v>
      </c>
      <c r="U21" s="32">
        <f t="shared" si="24"/>
        <v>3.68592</v>
      </c>
      <c r="V21" s="32">
        <f t="shared" si="24"/>
        <v>4.177376</v>
      </c>
    </row>
    <row r="22">
      <c r="B22" s="30">
        <f t="shared" si="13"/>
        <v>46145</v>
      </c>
      <c r="C22" s="31">
        <f t="shared" si="14"/>
        <v>240</v>
      </c>
      <c r="D22" s="32">
        <f t="shared" si="2"/>
        <v>29.21052632</v>
      </c>
      <c r="E22" s="34"/>
      <c r="F22" s="32">
        <f t="shared" si="15"/>
        <v>0</v>
      </c>
      <c r="G22" s="32">
        <f t="shared" si="16"/>
        <v>1228.64</v>
      </c>
      <c r="H22" s="32">
        <f t="shared" si="3"/>
        <v>1474.368</v>
      </c>
      <c r="I22" s="32">
        <f t="shared" si="4"/>
        <v>1597.232</v>
      </c>
      <c r="J22" s="32">
        <f t="shared" si="5"/>
        <v>1842.96</v>
      </c>
      <c r="K22" s="32">
        <f t="shared" si="6"/>
        <v>2088.688</v>
      </c>
      <c r="L22" s="34"/>
      <c r="M22" s="32">
        <f t="shared" si="7"/>
        <v>8600.48</v>
      </c>
      <c r="N22" s="32">
        <f t="shared" si="8"/>
        <v>10320.576</v>
      </c>
      <c r="O22" s="32">
        <f t="shared" si="9"/>
        <v>11180.624</v>
      </c>
      <c r="P22" s="32">
        <f t="shared" si="10"/>
        <v>12900.72</v>
      </c>
      <c r="Q22" s="32">
        <f t="shared" si="11"/>
        <v>14620.816</v>
      </c>
      <c r="R22" s="32">
        <f t="shared" ref="R22:V22" si="25">M22/3500</f>
        <v>2.45728</v>
      </c>
      <c r="S22" s="32">
        <f t="shared" si="25"/>
        <v>2.948736</v>
      </c>
      <c r="T22" s="32">
        <f t="shared" si="25"/>
        <v>3.194464</v>
      </c>
      <c r="U22" s="32">
        <f t="shared" si="25"/>
        <v>3.68592</v>
      </c>
      <c r="V22" s="32">
        <f t="shared" si="25"/>
        <v>4.177376</v>
      </c>
    </row>
    <row r="23">
      <c r="B23" s="30">
        <f t="shared" si="13"/>
        <v>46152</v>
      </c>
      <c r="C23" s="31">
        <f t="shared" si="14"/>
        <v>238</v>
      </c>
      <c r="D23" s="32">
        <f t="shared" si="2"/>
        <v>28.96710526</v>
      </c>
      <c r="E23" s="34"/>
      <c r="F23" s="32">
        <f t="shared" si="15"/>
        <v>0</v>
      </c>
      <c r="G23" s="32">
        <f t="shared" si="16"/>
        <v>1228.64</v>
      </c>
      <c r="H23" s="32">
        <f t="shared" si="3"/>
        <v>1474.368</v>
      </c>
      <c r="I23" s="32">
        <f t="shared" si="4"/>
        <v>1597.232</v>
      </c>
      <c r="J23" s="32">
        <f t="shared" si="5"/>
        <v>1842.96</v>
      </c>
      <c r="K23" s="32">
        <f t="shared" si="6"/>
        <v>2088.688</v>
      </c>
      <c r="L23" s="34"/>
      <c r="M23" s="32">
        <f t="shared" si="7"/>
        <v>8600.48</v>
      </c>
      <c r="N23" s="32">
        <f t="shared" si="8"/>
        <v>10320.576</v>
      </c>
      <c r="O23" s="32">
        <f t="shared" si="9"/>
        <v>11180.624</v>
      </c>
      <c r="P23" s="32">
        <f t="shared" si="10"/>
        <v>12900.72</v>
      </c>
      <c r="Q23" s="32">
        <f t="shared" si="11"/>
        <v>14620.816</v>
      </c>
      <c r="R23" s="32">
        <f t="shared" ref="R23:V23" si="26">M23/3500</f>
        <v>2.45728</v>
      </c>
      <c r="S23" s="32">
        <f t="shared" si="26"/>
        <v>2.948736</v>
      </c>
      <c r="T23" s="32">
        <f t="shared" si="26"/>
        <v>3.194464</v>
      </c>
      <c r="U23" s="32">
        <f t="shared" si="26"/>
        <v>3.68592</v>
      </c>
      <c r="V23" s="32">
        <f t="shared" si="26"/>
        <v>4.177376</v>
      </c>
    </row>
    <row r="24">
      <c r="B24" s="30">
        <f t="shared" si="13"/>
        <v>46159</v>
      </c>
      <c r="C24" s="31">
        <f t="shared" si="14"/>
        <v>236</v>
      </c>
      <c r="D24" s="32">
        <f t="shared" si="2"/>
        <v>28.72368421</v>
      </c>
      <c r="E24" s="34"/>
      <c r="F24" s="32">
        <f t="shared" si="15"/>
        <v>0</v>
      </c>
      <c r="G24" s="32">
        <f t="shared" si="16"/>
        <v>1228.64</v>
      </c>
      <c r="H24" s="32">
        <f t="shared" si="3"/>
        <v>1474.368</v>
      </c>
      <c r="I24" s="32">
        <f t="shared" si="4"/>
        <v>1597.232</v>
      </c>
      <c r="J24" s="32">
        <f t="shared" si="5"/>
        <v>1842.96</v>
      </c>
      <c r="K24" s="32">
        <f t="shared" si="6"/>
        <v>2088.688</v>
      </c>
      <c r="L24" s="34"/>
      <c r="M24" s="32">
        <f t="shared" si="7"/>
        <v>8600.48</v>
      </c>
      <c r="N24" s="32">
        <f t="shared" si="8"/>
        <v>10320.576</v>
      </c>
      <c r="O24" s="32">
        <f t="shared" si="9"/>
        <v>11180.624</v>
      </c>
      <c r="P24" s="32">
        <f t="shared" si="10"/>
        <v>12900.72</v>
      </c>
      <c r="Q24" s="32">
        <f t="shared" si="11"/>
        <v>14620.816</v>
      </c>
      <c r="R24" s="32">
        <f t="shared" ref="R24:V24" si="27">M24/3500</f>
        <v>2.45728</v>
      </c>
      <c r="S24" s="32">
        <f t="shared" si="27"/>
        <v>2.948736</v>
      </c>
      <c r="T24" s="32">
        <f t="shared" si="27"/>
        <v>3.194464</v>
      </c>
      <c r="U24" s="32">
        <f t="shared" si="27"/>
        <v>3.68592</v>
      </c>
      <c r="V24" s="32">
        <f t="shared" si="27"/>
        <v>4.177376</v>
      </c>
    </row>
    <row r="25">
      <c r="B25" s="30">
        <f t="shared" si="13"/>
        <v>46166</v>
      </c>
      <c r="C25" s="31">
        <f t="shared" si="14"/>
        <v>234</v>
      </c>
      <c r="D25" s="32">
        <f t="shared" si="2"/>
        <v>28.48026316</v>
      </c>
      <c r="E25" s="34"/>
      <c r="F25" s="32">
        <f t="shared" si="15"/>
        <v>0</v>
      </c>
      <c r="G25" s="32">
        <f t="shared" si="16"/>
        <v>1228.64</v>
      </c>
      <c r="H25" s="32">
        <f t="shared" si="3"/>
        <v>1474.368</v>
      </c>
      <c r="I25" s="32">
        <f t="shared" si="4"/>
        <v>1597.232</v>
      </c>
      <c r="J25" s="32">
        <f t="shared" si="5"/>
        <v>1842.96</v>
      </c>
      <c r="K25" s="32">
        <f t="shared" si="6"/>
        <v>2088.688</v>
      </c>
      <c r="L25" s="34"/>
      <c r="M25" s="32">
        <f t="shared" si="7"/>
        <v>8600.48</v>
      </c>
      <c r="N25" s="32">
        <f t="shared" si="8"/>
        <v>10320.576</v>
      </c>
      <c r="O25" s="32">
        <f t="shared" si="9"/>
        <v>11180.624</v>
      </c>
      <c r="P25" s="32">
        <f t="shared" si="10"/>
        <v>12900.72</v>
      </c>
      <c r="Q25" s="32">
        <f t="shared" si="11"/>
        <v>14620.816</v>
      </c>
      <c r="R25" s="32">
        <f t="shared" ref="R25:V25" si="28">M25/3500</f>
        <v>2.45728</v>
      </c>
      <c r="S25" s="32">
        <f t="shared" si="28"/>
        <v>2.948736</v>
      </c>
      <c r="T25" s="32">
        <f t="shared" si="28"/>
        <v>3.194464</v>
      </c>
      <c r="U25" s="32">
        <f t="shared" si="28"/>
        <v>3.68592</v>
      </c>
      <c r="V25" s="32">
        <f t="shared" si="28"/>
        <v>4.177376</v>
      </c>
    </row>
    <row r="26">
      <c r="B26" s="30">
        <f t="shared" si="13"/>
        <v>46173</v>
      </c>
      <c r="C26" s="31">
        <f t="shared" si="14"/>
        <v>232</v>
      </c>
      <c r="D26" s="32">
        <f t="shared" si="2"/>
        <v>28.23684211</v>
      </c>
      <c r="E26" s="34"/>
      <c r="F26" s="32">
        <f t="shared" si="15"/>
        <v>0</v>
      </c>
      <c r="G26" s="32">
        <f t="shared" si="16"/>
        <v>1228.64</v>
      </c>
      <c r="H26" s="32">
        <f t="shared" si="3"/>
        <v>1474.368</v>
      </c>
      <c r="I26" s="32">
        <f t="shared" si="4"/>
        <v>1597.232</v>
      </c>
      <c r="J26" s="32">
        <f t="shared" si="5"/>
        <v>1842.96</v>
      </c>
      <c r="K26" s="32">
        <f t="shared" si="6"/>
        <v>2088.688</v>
      </c>
      <c r="L26" s="34"/>
      <c r="M26" s="32">
        <f t="shared" si="7"/>
        <v>8600.48</v>
      </c>
      <c r="N26" s="32">
        <f t="shared" si="8"/>
        <v>10320.576</v>
      </c>
      <c r="O26" s="32">
        <f t="shared" si="9"/>
        <v>11180.624</v>
      </c>
      <c r="P26" s="32">
        <f t="shared" si="10"/>
        <v>12900.72</v>
      </c>
      <c r="Q26" s="32">
        <f t="shared" si="11"/>
        <v>14620.816</v>
      </c>
      <c r="R26" s="32">
        <f t="shared" ref="R26:V26" si="29">M26/3500</f>
        <v>2.45728</v>
      </c>
      <c r="S26" s="32">
        <f t="shared" si="29"/>
        <v>2.948736</v>
      </c>
      <c r="T26" s="32">
        <f t="shared" si="29"/>
        <v>3.194464</v>
      </c>
      <c r="U26" s="32">
        <f t="shared" si="29"/>
        <v>3.68592</v>
      </c>
      <c r="V26" s="32">
        <f t="shared" si="29"/>
        <v>4.177376</v>
      </c>
    </row>
    <row r="27">
      <c r="B27" s="30">
        <f t="shared" si="13"/>
        <v>46180</v>
      </c>
      <c r="C27" s="31">
        <f t="shared" si="14"/>
        <v>230</v>
      </c>
      <c r="D27" s="32">
        <f t="shared" si="2"/>
        <v>27.99342105</v>
      </c>
      <c r="E27" s="34"/>
      <c r="F27" s="32">
        <f t="shared" si="15"/>
        <v>0</v>
      </c>
      <c r="G27" s="32">
        <f t="shared" si="16"/>
        <v>1228.64</v>
      </c>
      <c r="H27" s="32">
        <f t="shared" si="3"/>
        <v>1474.368</v>
      </c>
      <c r="I27" s="32">
        <f t="shared" si="4"/>
        <v>1597.232</v>
      </c>
      <c r="J27" s="32">
        <f t="shared" si="5"/>
        <v>1842.96</v>
      </c>
      <c r="K27" s="32">
        <f t="shared" si="6"/>
        <v>2088.688</v>
      </c>
      <c r="L27" s="34"/>
      <c r="M27" s="32">
        <f t="shared" si="7"/>
        <v>8600.48</v>
      </c>
      <c r="N27" s="32">
        <f t="shared" si="8"/>
        <v>10320.576</v>
      </c>
      <c r="O27" s="32">
        <f t="shared" si="9"/>
        <v>11180.624</v>
      </c>
      <c r="P27" s="32">
        <f t="shared" si="10"/>
        <v>12900.72</v>
      </c>
      <c r="Q27" s="32">
        <f t="shared" si="11"/>
        <v>14620.816</v>
      </c>
      <c r="R27" s="32">
        <f t="shared" ref="R27:V27" si="30">M27/3500</f>
        <v>2.45728</v>
      </c>
      <c r="S27" s="32">
        <f t="shared" si="30"/>
        <v>2.948736</v>
      </c>
      <c r="T27" s="32">
        <f t="shared" si="30"/>
        <v>3.194464</v>
      </c>
      <c r="U27" s="32">
        <f t="shared" si="30"/>
        <v>3.68592</v>
      </c>
      <c r="V27" s="32">
        <f t="shared" si="30"/>
        <v>4.177376</v>
      </c>
    </row>
    <row r="28">
      <c r="B28" s="30">
        <f t="shared" si="13"/>
        <v>46187</v>
      </c>
      <c r="C28" s="31">
        <f t="shared" si="14"/>
        <v>228</v>
      </c>
      <c r="D28" s="32">
        <f t="shared" si="2"/>
        <v>27.75</v>
      </c>
      <c r="E28" s="34"/>
      <c r="F28" s="32">
        <f t="shared" si="15"/>
        <v>0</v>
      </c>
      <c r="G28" s="32">
        <f t="shared" si="16"/>
        <v>1228.64</v>
      </c>
      <c r="H28" s="32">
        <f t="shared" si="3"/>
        <v>1474.368</v>
      </c>
      <c r="I28" s="32">
        <f t="shared" si="4"/>
        <v>1597.232</v>
      </c>
      <c r="J28" s="32">
        <f t="shared" si="5"/>
        <v>1842.96</v>
      </c>
      <c r="K28" s="32">
        <f t="shared" si="6"/>
        <v>2088.688</v>
      </c>
      <c r="L28" s="34"/>
      <c r="M28" s="32">
        <f t="shared" si="7"/>
        <v>8600.48</v>
      </c>
      <c r="N28" s="32">
        <f t="shared" si="8"/>
        <v>10320.576</v>
      </c>
      <c r="O28" s="32">
        <f t="shared" si="9"/>
        <v>11180.624</v>
      </c>
      <c r="P28" s="32">
        <f t="shared" si="10"/>
        <v>12900.72</v>
      </c>
      <c r="Q28" s="32">
        <f t="shared" si="11"/>
        <v>14620.816</v>
      </c>
      <c r="R28" s="32">
        <f t="shared" ref="R28:V28" si="31">M28/3500</f>
        <v>2.45728</v>
      </c>
      <c r="S28" s="32">
        <f t="shared" si="31"/>
        <v>2.948736</v>
      </c>
      <c r="T28" s="32">
        <f t="shared" si="31"/>
        <v>3.194464</v>
      </c>
      <c r="U28" s="32">
        <f t="shared" si="31"/>
        <v>3.68592</v>
      </c>
      <c r="V28" s="32">
        <f t="shared" si="31"/>
        <v>4.177376</v>
      </c>
    </row>
    <row r="29">
      <c r="B29" s="30">
        <f t="shared" si="13"/>
        <v>46194</v>
      </c>
      <c r="C29" s="31">
        <f t="shared" si="14"/>
        <v>226</v>
      </c>
      <c r="D29" s="32">
        <f t="shared" si="2"/>
        <v>27.50657895</v>
      </c>
      <c r="E29" s="34"/>
      <c r="F29" s="32">
        <f t="shared" si="15"/>
        <v>0</v>
      </c>
      <c r="G29" s="32">
        <f t="shared" si="16"/>
        <v>1228.64</v>
      </c>
      <c r="H29" s="32">
        <f t="shared" si="3"/>
        <v>1474.368</v>
      </c>
      <c r="I29" s="32">
        <f t="shared" si="4"/>
        <v>1597.232</v>
      </c>
      <c r="J29" s="32">
        <f t="shared" si="5"/>
        <v>1842.96</v>
      </c>
      <c r="K29" s="32">
        <f t="shared" si="6"/>
        <v>2088.688</v>
      </c>
      <c r="L29" s="34"/>
      <c r="M29" s="32">
        <f t="shared" si="7"/>
        <v>8600.48</v>
      </c>
      <c r="N29" s="32">
        <f t="shared" si="8"/>
        <v>10320.576</v>
      </c>
      <c r="O29" s="32">
        <f t="shared" si="9"/>
        <v>11180.624</v>
      </c>
      <c r="P29" s="32">
        <f t="shared" si="10"/>
        <v>12900.72</v>
      </c>
      <c r="Q29" s="32">
        <f t="shared" si="11"/>
        <v>14620.816</v>
      </c>
      <c r="R29" s="32">
        <f t="shared" ref="R29:V29" si="32">M29/3500</f>
        <v>2.45728</v>
      </c>
      <c r="S29" s="32">
        <f t="shared" si="32"/>
        <v>2.948736</v>
      </c>
      <c r="T29" s="32">
        <f t="shared" si="32"/>
        <v>3.194464</v>
      </c>
      <c r="U29" s="32">
        <f t="shared" si="32"/>
        <v>3.68592</v>
      </c>
      <c r="V29" s="32">
        <f t="shared" si="32"/>
        <v>4.177376</v>
      </c>
    </row>
    <row r="30">
      <c r="B30" s="30">
        <f t="shared" si="13"/>
        <v>46201</v>
      </c>
      <c r="C30" s="31">
        <f t="shared" si="14"/>
        <v>224</v>
      </c>
      <c r="D30" s="32">
        <f t="shared" si="2"/>
        <v>27.26315789</v>
      </c>
      <c r="E30" s="34"/>
      <c r="F30" s="32">
        <f t="shared" si="15"/>
        <v>0</v>
      </c>
      <c r="G30" s="32">
        <f t="shared" si="16"/>
        <v>1228.64</v>
      </c>
      <c r="H30" s="32">
        <f t="shared" si="3"/>
        <v>1474.368</v>
      </c>
      <c r="I30" s="32">
        <f t="shared" si="4"/>
        <v>1597.232</v>
      </c>
      <c r="J30" s="32">
        <f t="shared" si="5"/>
        <v>1842.96</v>
      </c>
      <c r="K30" s="32">
        <f t="shared" si="6"/>
        <v>2088.688</v>
      </c>
      <c r="L30" s="34"/>
      <c r="M30" s="32">
        <f t="shared" si="7"/>
        <v>8600.48</v>
      </c>
      <c r="N30" s="32">
        <f t="shared" si="8"/>
        <v>10320.576</v>
      </c>
      <c r="O30" s="32">
        <f t="shared" si="9"/>
        <v>11180.624</v>
      </c>
      <c r="P30" s="32">
        <f t="shared" si="10"/>
        <v>12900.72</v>
      </c>
      <c r="Q30" s="32">
        <f t="shared" si="11"/>
        <v>14620.816</v>
      </c>
      <c r="R30" s="32">
        <f t="shared" ref="R30:V30" si="33">M30/3500</f>
        <v>2.45728</v>
      </c>
      <c r="S30" s="32">
        <f t="shared" si="33"/>
        <v>2.948736</v>
      </c>
      <c r="T30" s="32">
        <f t="shared" si="33"/>
        <v>3.194464</v>
      </c>
      <c r="U30" s="32">
        <f t="shared" si="33"/>
        <v>3.68592</v>
      </c>
      <c r="V30" s="32">
        <f t="shared" si="33"/>
        <v>4.177376</v>
      </c>
    </row>
    <row r="31">
      <c r="B31" s="30">
        <f t="shared" si="13"/>
        <v>46208</v>
      </c>
      <c r="C31" s="31">
        <f t="shared" si="14"/>
        <v>222</v>
      </c>
      <c r="D31" s="32">
        <f t="shared" si="2"/>
        <v>27.01973684</v>
      </c>
      <c r="E31" s="34"/>
      <c r="F31" s="32">
        <f t="shared" si="15"/>
        <v>0</v>
      </c>
      <c r="G31" s="32">
        <f t="shared" si="16"/>
        <v>1228.64</v>
      </c>
      <c r="H31" s="32">
        <f t="shared" si="3"/>
        <v>1474.368</v>
      </c>
      <c r="I31" s="32">
        <f t="shared" si="4"/>
        <v>1597.232</v>
      </c>
      <c r="J31" s="32">
        <f t="shared" si="5"/>
        <v>1842.96</v>
      </c>
      <c r="K31" s="32">
        <f t="shared" si="6"/>
        <v>2088.688</v>
      </c>
      <c r="L31" s="34"/>
      <c r="M31" s="32">
        <f t="shared" si="7"/>
        <v>8600.48</v>
      </c>
      <c r="N31" s="32">
        <f t="shared" si="8"/>
        <v>10320.576</v>
      </c>
      <c r="O31" s="32">
        <f t="shared" si="9"/>
        <v>11180.624</v>
      </c>
      <c r="P31" s="32">
        <f t="shared" si="10"/>
        <v>12900.72</v>
      </c>
      <c r="Q31" s="32">
        <f t="shared" si="11"/>
        <v>14620.816</v>
      </c>
      <c r="R31" s="32">
        <f t="shared" ref="R31:V31" si="34">M31/3500</f>
        <v>2.45728</v>
      </c>
      <c r="S31" s="32">
        <f t="shared" si="34"/>
        <v>2.948736</v>
      </c>
      <c r="T31" s="32">
        <f t="shared" si="34"/>
        <v>3.194464</v>
      </c>
      <c r="U31" s="32">
        <f t="shared" si="34"/>
        <v>3.68592</v>
      </c>
      <c r="V31" s="32">
        <f t="shared" si="34"/>
        <v>4.177376</v>
      </c>
    </row>
    <row r="32">
      <c r="B32" s="30">
        <f t="shared" si="13"/>
        <v>46215</v>
      </c>
      <c r="C32" s="31">
        <f t="shared" si="14"/>
        <v>220</v>
      </c>
      <c r="D32" s="32">
        <f t="shared" si="2"/>
        <v>26.77631579</v>
      </c>
      <c r="E32" s="34"/>
      <c r="F32" s="32">
        <f t="shared" si="15"/>
        <v>0</v>
      </c>
      <c r="G32" s="32">
        <f t="shared" si="16"/>
        <v>1228.64</v>
      </c>
      <c r="H32" s="32">
        <f t="shared" si="3"/>
        <v>1474.368</v>
      </c>
      <c r="I32" s="32">
        <f t="shared" si="4"/>
        <v>1597.232</v>
      </c>
      <c r="J32" s="32">
        <f t="shared" si="5"/>
        <v>1842.96</v>
      </c>
      <c r="K32" s="32">
        <f t="shared" si="6"/>
        <v>2088.688</v>
      </c>
      <c r="L32" s="34"/>
      <c r="M32" s="32">
        <f t="shared" si="7"/>
        <v>8600.48</v>
      </c>
      <c r="N32" s="32">
        <f t="shared" si="8"/>
        <v>10320.576</v>
      </c>
      <c r="O32" s="32">
        <f t="shared" si="9"/>
        <v>11180.624</v>
      </c>
      <c r="P32" s="32">
        <f t="shared" si="10"/>
        <v>12900.72</v>
      </c>
      <c r="Q32" s="32">
        <f t="shared" si="11"/>
        <v>14620.816</v>
      </c>
      <c r="R32" s="32">
        <f t="shared" ref="R32:V32" si="35">M32/3500</f>
        <v>2.45728</v>
      </c>
      <c r="S32" s="32">
        <f t="shared" si="35"/>
        <v>2.948736</v>
      </c>
      <c r="T32" s="32">
        <f t="shared" si="35"/>
        <v>3.194464</v>
      </c>
      <c r="U32" s="32">
        <f t="shared" si="35"/>
        <v>3.68592</v>
      </c>
      <c r="V32" s="32">
        <f t="shared" si="35"/>
        <v>4.177376</v>
      </c>
    </row>
    <row r="33">
      <c r="B33" s="30">
        <f t="shared" si="13"/>
        <v>46222</v>
      </c>
      <c r="C33" s="31">
        <f t="shared" si="14"/>
        <v>218</v>
      </c>
      <c r="D33" s="32">
        <f t="shared" si="2"/>
        <v>26.53289474</v>
      </c>
      <c r="E33" s="34"/>
      <c r="F33" s="32">
        <f t="shared" si="15"/>
        <v>0</v>
      </c>
      <c r="G33" s="32">
        <f t="shared" si="16"/>
        <v>1228.64</v>
      </c>
      <c r="H33" s="32">
        <f t="shared" si="3"/>
        <v>1474.368</v>
      </c>
      <c r="I33" s="32">
        <f t="shared" si="4"/>
        <v>1597.232</v>
      </c>
      <c r="J33" s="32">
        <f t="shared" si="5"/>
        <v>1842.96</v>
      </c>
      <c r="K33" s="32">
        <f t="shared" si="6"/>
        <v>2088.688</v>
      </c>
      <c r="L33" s="34"/>
      <c r="M33" s="32">
        <f t="shared" si="7"/>
        <v>8600.48</v>
      </c>
      <c r="N33" s="32">
        <f t="shared" si="8"/>
        <v>10320.576</v>
      </c>
      <c r="O33" s="32">
        <f t="shared" si="9"/>
        <v>11180.624</v>
      </c>
      <c r="P33" s="32">
        <f t="shared" si="10"/>
        <v>12900.72</v>
      </c>
      <c r="Q33" s="32">
        <f t="shared" si="11"/>
        <v>14620.816</v>
      </c>
      <c r="R33" s="32">
        <f t="shared" ref="R33:V33" si="36">M33/3500</f>
        <v>2.45728</v>
      </c>
      <c r="S33" s="32">
        <f t="shared" si="36"/>
        <v>2.948736</v>
      </c>
      <c r="T33" s="32">
        <f t="shared" si="36"/>
        <v>3.194464</v>
      </c>
      <c r="U33" s="32">
        <f t="shared" si="36"/>
        <v>3.68592</v>
      </c>
      <c r="V33" s="32">
        <f t="shared" si="36"/>
        <v>4.177376</v>
      </c>
    </row>
    <row r="34">
      <c r="B34" s="30">
        <f t="shared" si="13"/>
        <v>46229</v>
      </c>
      <c r="C34" s="31">
        <f t="shared" si="14"/>
        <v>216</v>
      </c>
      <c r="D34" s="32">
        <f t="shared" si="2"/>
        <v>26.28947368</v>
      </c>
      <c r="E34" s="34"/>
      <c r="F34" s="32">
        <f t="shared" si="15"/>
        <v>0</v>
      </c>
      <c r="G34" s="32">
        <f t="shared" si="16"/>
        <v>1228.64</v>
      </c>
      <c r="H34" s="32">
        <f t="shared" si="3"/>
        <v>1474.368</v>
      </c>
      <c r="I34" s="32">
        <f t="shared" si="4"/>
        <v>1597.232</v>
      </c>
      <c r="J34" s="32">
        <f t="shared" si="5"/>
        <v>1842.96</v>
      </c>
      <c r="K34" s="32">
        <f t="shared" si="6"/>
        <v>2088.688</v>
      </c>
      <c r="L34" s="34"/>
      <c r="M34" s="32">
        <f t="shared" si="7"/>
        <v>8600.48</v>
      </c>
      <c r="N34" s="32">
        <f t="shared" si="8"/>
        <v>10320.576</v>
      </c>
      <c r="O34" s="32">
        <f t="shared" si="9"/>
        <v>11180.624</v>
      </c>
      <c r="P34" s="32">
        <f t="shared" si="10"/>
        <v>12900.72</v>
      </c>
      <c r="Q34" s="32">
        <f t="shared" si="11"/>
        <v>14620.816</v>
      </c>
      <c r="R34" s="32">
        <f t="shared" ref="R34:V34" si="37">M34/3500</f>
        <v>2.45728</v>
      </c>
      <c r="S34" s="32">
        <f t="shared" si="37"/>
        <v>2.948736</v>
      </c>
      <c r="T34" s="32">
        <f t="shared" si="37"/>
        <v>3.194464</v>
      </c>
      <c r="U34" s="32">
        <f t="shared" si="37"/>
        <v>3.68592</v>
      </c>
      <c r="V34" s="32">
        <f t="shared" si="37"/>
        <v>4.177376</v>
      </c>
    </row>
    <row r="35">
      <c r="B35" s="30">
        <f t="shared" si="13"/>
        <v>46236</v>
      </c>
      <c r="C35" s="31">
        <f t="shared" si="14"/>
        <v>214</v>
      </c>
      <c r="D35" s="32">
        <f t="shared" si="2"/>
        <v>26.04605263</v>
      </c>
      <c r="E35" s="34"/>
      <c r="F35" s="32">
        <f t="shared" si="15"/>
        <v>0</v>
      </c>
      <c r="G35" s="32">
        <f t="shared" si="16"/>
        <v>1228.64</v>
      </c>
      <c r="H35" s="32">
        <f t="shared" si="3"/>
        <v>1474.368</v>
      </c>
      <c r="I35" s="32">
        <f t="shared" si="4"/>
        <v>1597.232</v>
      </c>
      <c r="J35" s="32">
        <f t="shared" si="5"/>
        <v>1842.96</v>
      </c>
      <c r="K35" s="32">
        <f t="shared" si="6"/>
        <v>2088.688</v>
      </c>
      <c r="L35" s="34"/>
      <c r="M35" s="32">
        <f t="shared" si="7"/>
        <v>8600.48</v>
      </c>
      <c r="N35" s="32">
        <f t="shared" si="8"/>
        <v>10320.576</v>
      </c>
      <c r="O35" s="32">
        <f t="shared" si="9"/>
        <v>11180.624</v>
      </c>
      <c r="P35" s="32">
        <f t="shared" si="10"/>
        <v>12900.72</v>
      </c>
      <c r="Q35" s="32">
        <f t="shared" si="11"/>
        <v>14620.816</v>
      </c>
      <c r="R35" s="32">
        <f t="shared" ref="R35:V35" si="38">M35/3500</f>
        <v>2.45728</v>
      </c>
      <c r="S35" s="32">
        <f t="shared" si="38"/>
        <v>2.948736</v>
      </c>
      <c r="T35" s="32">
        <f t="shared" si="38"/>
        <v>3.194464</v>
      </c>
      <c r="U35" s="32">
        <f t="shared" si="38"/>
        <v>3.68592</v>
      </c>
      <c r="V35" s="32">
        <f t="shared" si="38"/>
        <v>4.177376</v>
      </c>
    </row>
    <row r="36">
      <c r="B36" s="30">
        <f t="shared" si="13"/>
        <v>46243</v>
      </c>
      <c r="C36" s="31">
        <f t="shared" si="14"/>
        <v>212</v>
      </c>
      <c r="D36" s="32">
        <f t="shared" si="2"/>
        <v>25.80263158</v>
      </c>
      <c r="E36" s="34"/>
      <c r="F36" s="32">
        <f t="shared" si="15"/>
        <v>0</v>
      </c>
      <c r="G36" s="32">
        <f t="shared" si="16"/>
        <v>1228.64</v>
      </c>
      <c r="H36" s="32">
        <f t="shared" si="3"/>
        <v>1474.368</v>
      </c>
      <c r="I36" s="32">
        <f t="shared" si="4"/>
        <v>1597.232</v>
      </c>
      <c r="J36" s="32">
        <f t="shared" si="5"/>
        <v>1842.96</v>
      </c>
      <c r="K36" s="32">
        <f t="shared" si="6"/>
        <v>2088.688</v>
      </c>
      <c r="L36" s="34"/>
      <c r="M36" s="32">
        <f t="shared" si="7"/>
        <v>8600.48</v>
      </c>
      <c r="N36" s="32">
        <f t="shared" si="8"/>
        <v>10320.576</v>
      </c>
      <c r="O36" s="32">
        <f t="shared" si="9"/>
        <v>11180.624</v>
      </c>
      <c r="P36" s="32">
        <f t="shared" si="10"/>
        <v>12900.72</v>
      </c>
      <c r="Q36" s="32">
        <f t="shared" si="11"/>
        <v>14620.816</v>
      </c>
      <c r="R36" s="32">
        <f t="shared" ref="R36:V36" si="39">M36/3500</f>
        <v>2.45728</v>
      </c>
      <c r="S36" s="32">
        <f t="shared" si="39"/>
        <v>2.948736</v>
      </c>
      <c r="T36" s="32">
        <f t="shared" si="39"/>
        <v>3.194464</v>
      </c>
      <c r="U36" s="32">
        <f t="shared" si="39"/>
        <v>3.68592</v>
      </c>
      <c r="V36" s="32">
        <f t="shared" si="39"/>
        <v>4.177376</v>
      </c>
    </row>
    <row r="37">
      <c r="B37" s="30">
        <f t="shared" si="13"/>
        <v>46250</v>
      </c>
      <c r="C37" s="31">
        <f t="shared" si="14"/>
        <v>210</v>
      </c>
      <c r="D37" s="32">
        <f t="shared" si="2"/>
        <v>25.55921053</v>
      </c>
      <c r="E37" s="34"/>
      <c r="F37" s="32">
        <f t="shared" si="15"/>
        <v>0</v>
      </c>
      <c r="G37" s="32">
        <f t="shared" si="16"/>
        <v>1228.64</v>
      </c>
      <c r="H37" s="32">
        <f t="shared" si="3"/>
        <v>1474.368</v>
      </c>
      <c r="I37" s="32">
        <f t="shared" si="4"/>
        <v>1597.232</v>
      </c>
      <c r="J37" s="32">
        <f t="shared" si="5"/>
        <v>1842.96</v>
      </c>
      <c r="K37" s="32">
        <f t="shared" si="6"/>
        <v>2088.688</v>
      </c>
      <c r="L37" s="34"/>
      <c r="M37" s="32">
        <f t="shared" si="7"/>
        <v>8600.48</v>
      </c>
      <c r="N37" s="32">
        <f t="shared" si="8"/>
        <v>10320.576</v>
      </c>
      <c r="O37" s="32">
        <f t="shared" si="9"/>
        <v>11180.624</v>
      </c>
      <c r="P37" s="32">
        <f t="shared" si="10"/>
        <v>12900.72</v>
      </c>
      <c r="Q37" s="32">
        <f t="shared" si="11"/>
        <v>14620.816</v>
      </c>
      <c r="R37" s="32">
        <f t="shared" ref="R37:V37" si="40">M37/3500</f>
        <v>2.45728</v>
      </c>
      <c r="S37" s="32">
        <f t="shared" si="40"/>
        <v>2.948736</v>
      </c>
      <c r="T37" s="32">
        <f t="shared" si="40"/>
        <v>3.194464</v>
      </c>
      <c r="U37" s="32">
        <f t="shared" si="40"/>
        <v>3.68592</v>
      </c>
      <c r="V37" s="32">
        <f t="shared" si="40"/>
        <v>4.177376</v>
      </c>
    </row>
    <row r="38">
      <c r="B38" s="30">
        <f t="shared" si="13"/>
        <v>46257</v>
      </c>
      <c r="C38" s="31">
        <f t="shared" si="14"/>
        <v>208</v>
      </c>
      <c r="D38" s="32">
        <f t="shared" si="2"/>
        <v>25.31578947</v>
      </c>
      <c r="E38" s="34"/>
      <c r="F38" s="32">
        <f t="shared" si="15"/>
        <v>0</v>
      </c>
      <c r="G38" s="31">
        <v>1228.64</v>
      </c>
      <c r="H38" s="32">
        <f t="shared" si="3"/>
        <v>1474.368</v>
      </c>
      <c r="I38" s="32">
        <f t="shared" si="4"/>
        <v>1597.232</v>
      </c>
      <c r="J38" s="32">
        <f t="shared" si="5"/>
        <v>1842.96</v>
      </c>
      <c r="K38" s="32">
        <f t="shared" si="6"/>
        <v>2088.688</v>
      </c>
      <c r="L38" s="34"/>
      <c r="M38" s="32">
        <f t="shared" si="7"/>
        <v>8600.48</v>
      </c>
      <c r="N38" s="32">
        <f t="shared" si="8"/>
        <v>10320.576</v>
      </c>
      <c r="O38" s="32">
        <f t="shared" si="9"/>
        <v>11180.624</v>
      </c>
      <c r="P38" s="32">
        <f t="shared" si="10"/>
        <v>12900.72</v>
      </c>
      <c r="Q38" s="32">
        <f t="shared" si="11"/>
        <v>14620.816</v>
      </c>
      <c r="R38" s="32">
        <f t="shared" ref="R38:V38" si="41">M38/3500</f>
        <v>2.45728</v>
      </c>
      <c r="S38" s="32">
        <f t="shared" si="41"/>
        <v>2.948736</v>
      </c>
      <c r="T38" s="32">
        <f t="shared" si="41"/>
        <v>3.194464</v>
      </c>
      <c r="U38" s="32">
        <f t="shared" si="41"/>
        <v>3.68592</v>
      </c>
      <c r="V38" s="32">
        <f t="shared" si="41"/>
        <v>4.177376</v>
      </c>
    </row>
    <row r="39">
      <c r="B39" s="30">
        <f t="shared" si="13"/>
        <v>46264</v>
      </c>
      <c r="C39" s="31">
        <f t="shared" si="14"/>
        <v>206</v>
      </c>
      <c r="D39" s="32">
        <f t="shared" si="2"/>
        <v>25.07236842</v>
      </c>
      <c r="E39" s="34"/>
      <c r="F39" s="32">
        <f t="shared" si="15"/>
        <v>0</v>
      </c>
      <c r="G39" s="31">
        <v>1228.64</v>
      </c>
      <c r="H39" s="32">
        <f t="shared" si="3"/>
        <v>1474.368</v>
      </c>
      <c r="I39" s="32">
        <f t="shared" si="4"/>
        <v>1597.232</v>
      </c>
      <c r="J39" s="32">
        <f t="shared" si="5"/>
        <v>1842.96</v>
      </c>
      <c r="K39" s="32">
        <f t="shared" si="6"/>
        <v>2088.688</v>
      </c>
      <c r="L39" s="34"/>
      <c r="M39" s="32">
        <f t="shared" si="7"/>
        <v>8600.48</v>
      </c>
      <c r="N39" s="32">
        <f t="shared" si="8"/>
        <v>10320.576</v>
      </c>
      <c r="O39" s="32">
        <f t="shared" si="9"/>
        <v>11180.624</v>
      </c>
      <c r="P39" s="32">
        <f t="shared" si="10"/>
        <v>12900.72</v>
      </c>
      <c r="Q39" s="32">
        <f t="shared" si="11"/>
        <v>14620.816</v>
      </c>
      <c r="R39" s="32">
        <f t="shared" ref="R39:V39" si="42">M39/3500</f>
        <v>2.45728</v>
      </c>
      <c r="S39" s="32">
        <f t="shared" si="42"/>
        <v>2.948736</v>
      </c>
      <c r="T39" s="32">
        <f t="shared" si="42"/>
        <v>3.194464</v>
      </c>
      <c r="U39" s="32">
        <f t="shared" si="42"/>
        <v>3.68592</v>
      </c>
      <c r="V39" s="32">
        <f t="shared" si="42"/>
        <v>4.177376</v>
      </c>
    </row>
    <row r="40">
      <c r="B40" s="30">
        <f t="shared" si="13"/>
        <v>46271</v>
      </c>
      <c r="C40" s="31">
        <f t="shared" si="14"/>
        <v>204</v>
      </c>
      <c r="D40" s="32">
        <f t="shared" si="2"/>
        <v>24.82894737</v>
      </c>
      <c r="E40" s="34"/>
      <c r="F40" s="32">
        <f t="shared" si="15"/>
        <v>0</v>
      </c>
      <c r="G40" s="31">
        <v>1228.64</v>
      </c>
      <c r="H40" s="32">
        <f t="shared" si="3"/>
        <v>1474.368</v>
      </c>
      <c r="I40" s="32">
        <f t="shared" si="4"/>
        <v>1597.232</v>
      </c>
      <c r="J40" s="32">
        <f t="shared" si="5"/>
        <v>1842.96</v>
      </c>
      <c r="K40" s="32">
        <f t="shared" si="6"/>
        <v>2088.688</v>
      </c>
      <c r="L40" s="34"/>
      <c r="M40" s="32">
        <f t="shared" si="7"/>
        <v>8600.48</v>
      </c>
      <c r="N40" s="32">
        <f t="shared" si="8"/>
        <v>10320.576</v>
      </c>
      <c r="O40" s="32">
        <f t="shared" si="9"/>
        <v>11180.624</v>
      </c>
      <c r="P40" s="32">
        <f t="shared" si="10"/>
        <v>12900.72</v>
      </c>
      <c r="Q40" s="32">
        <f t="shared" si="11"/>
        <v>14620.816</v>
      </c>
      <c r="R40" s="32">
        <f t="shared" ref="R40:V40" si="43">M40/3500</f>
        <v>2.45728</v>
      </c>
      <c r="S40" s="32">
        <f t="shared" si="43"/>
        <v>2.948736</v>
      </c>
      <c r="T40" s="32">
        <f t="shared" si="43"/>
        <v>3.194464</v>
      </c>
      <c r="U40" s="32">
        <f t="shared" si="43"/>
        <v>3.68592</v>
      </c>
      <c r="V40" s="32">
        <f t="shared" si="43"/>
        <v>4.177376</v>
      </c>
    </row>
    <row r="41">
      <c r="B41" s="30">
        <f t="shared" si="13"/>
        <v>46278</v>
      </c>
      <c r="C41" s="31">
        <f t="shared" si="14"/>
        <v>202</v>
      </c>
      <c r="D41" s="32">
        <f t="shared" si="2"/>
        <v>24.58552632</v>
      </c>
      <c r="E41" s="34"/>
      <c r="F41" s="32">
        <f t="shared" si="15"/>
        <v>0</v>
      </c>
      <c r="G41" s="31">
        <v>1228.64</v>
      </c>
      <c r="H41" s="32">
        <f t="shared" si="3"/>
        <v>1474.368</v>
      </c>
      <c r="I41" s="32">
        <f t="shared" si="4"/>
        <v>1597.232</v>
      </c>
      <c r="J41" s="32">
        <f t="shared" si="5"/>
        <v>1842.96</v>
      </c>
      <c r="K41" s="32">
        <f t="shared" si="6"/>
        <v>2088.688</v>
      </c>
      <c r="L41" s="34"/>
      <c r="M41" s="32">
        <f t="shared" si="7"/>
        <v>8600.48</v>
      </c>
      <c r="N41" s="32">
        <f t="shared" si="8"/>
        <v>10320.576</v>
      </c>
      <c r="O41" s="32">
        <f t="shared" si="9"/>
        <v>11180.624</v>
      </c>
      <c r="P41" s="32">
        <f t="shared" si="10"/>
        <v>12900.72</v>
      </c>
      <c r="Q41" s="32">
        <f t="shared" si="11"/>
        <v>14620.816</v>
      </c>
      <c r="R41" s="32">
        <f t="shared" ref="R41:V41" si="44">M41/3500</f>
        <v>2.45728</v>
      </c>
      <c r="S41" s="32">
        <f t="shared" si="44"/>
        <v>2.948736</v>
      </c>
      <c r="T41" s="32">
        <f t="shared" si="44"/>
        <v>3.194464</v>
      </c>
      <c r="U41" s="32">
        <f t="shared" si="44"/>
        <v>3.68592</v>
      </c>
      <c r="V41" s="32">
        <f t="shared" si="44"/>
        <v>4.177376</v>
      </c>
    </row>
    <row r="42">
      <c r="B42" s="30">
        <f t="shared" si="13"/>
        <v>46285</v>
      </c>
      <c r="C42" s="31">
        <f t="shared" si="14"/>
        <v>200</v>
      </c>
      <c r="D42" s="32">
        <f t="shared" si="2"/>
        <v>24.34210526</v>
      </c>
      <c r="E42" s="34"/>
      <c r="F42" s="32">
        <f t="shared" si="15"/>
        <v>0</v>
      </c>
      <c r="G42" s="31">
        <v>1228.64</v>
      </c>
      <c r="H42" s="32">
        <f t="shared" si="3"/>
        <v>1474.368</v>
      </c>
      <c r="I42" s="32">
        <f t="shared" si="4"/>
        <v>1597.232</v>
      </c>
      <c r="J42" s="32">
        <f t="shared" si="5"/>
        <v>1842.96</v>
      </c>
      <c r="K42" s="32">
        <f t="shared" si="6"/>
        <v>2088.688</v>
      </c>
      <c r="L42" s="34"/>
      <c r="M42" s="32">
        <f t="shared" si="7"/>
        <v>8600.48</v>
      </c>
      <c r="N42" s="32">
        <f t="shared" si="8"/>
        <v>10320.576</v>
      </c>
      <c r="O42" s="32">
        <f t="shared" si="9"/>
        <v>11180.624</v>
      </c>
      <c r="P42" s="32">
        <f t="shared" si="10"/>
        <v>12900.72</v>
      </c>
      <c r="Q42" s="32">
        <f t="shared" si="11"/>
        <v>14620.816</v>
      </c>
      <c r="R42" s="32">
        <f t="shared" ref="R42:V42" si="45">M42/3500</f>
        <v>2.45728</v>
      </c>
      <c r="S42" s="32">
        <f t="shared" si="45"/>
        <v>2.948736</v>
      </c>
      <c r="T42" s="32">
        <f t="shared" si="45"/>
        <v>3.194464</v>
      </c>
      <c r="U42" s="32">
        <f t="shared" si="45"/>
        <v>3.68592</v>
      </c>
      <c r="V42" s="32">
        <f t="shared" si="45"/>
        <v>4.177376</v>
      </c>
    </row>
    <row r="43">
      <c r="B43" s="30">
        <f t="shared" si="13"/>
        <v>46292</v>
      </c>
      <c r="C43" s="31">
        <f t="shared" si="14"/>
        <v>198</v>
      </c>
      <c r="D43" s="32">
        <f t="shared" si="2"/>
        <v>24.09868421</v>
      </c>
      <c r="E43" s="34"/>
      <c r="F43" s="32">
        <f t="shared" si="15"/>
        <v>0</v>
      </c>
      <c r="G43" s="31">
        <v>1228.64</v>
      </c>
      <c r="H43" s="32">
        <f t="shared" si="3"/>
        <v>1474.368</v>
      </c>
      <c r="I43" s="32">
        <f t="shared" si="4"/>
        <v>1597.232</v>
      </c>
      <c r="J43" s="32">
        <f t="shared" si="5"/>
        <v>1842.96</v>
      </c>
      <c r="K43" s="32">
        <f t="shared" si="6"/>
        <v>2088.688</v>
      </c>
      <c r="L43" s="34"/>
      <c r="M43" s="32">
        <f t="shared" si="7"/>
        <v>8600.48</v>
      </c>
      <c r="N43" s="32">
        <f t="shared" si="8"/>
        <v>10320.576</v>
      </c>
      <c r="O43" s="32">
        <f t="shared" si="9"/>
        <v>11180.624</v>
      </c>
      <c r="P43" s="32">
        <f t="shared" si="10"/>
        <v>12900.72</v>
      </c>
      <c r="Q43" s="32">
        <f t="shared" si="11"/>
        <v>14620.816</v>
      </c>
      <c r="R43" s="32">
        <f t="shared" ref="R43:V43" si="46">M43/3500</f>
        <v>2.45728</v>
      </c>
      <c r="S43" s="32">
        <f t="shared" si="46"/>
        <v>2.948736</v>
      </c>
      <c r="T43" s="32">
        <f t="shared" si="46"/>
        <v>3.194464</v>
      </c>
      <c r="U43" s="32">
        <f t="shared" si="46"/>
        <v>3.68592</v>
      </c>
      <c r="V43" s="32">
        <f t="shared" si="46"/>
        <v>4.177376</v>
      </c>
    </row>
    <row r="44">
      <c r="B44" s="30">
        <f t="shared" si="13"/>
        <v>46299</v>
      </c>
      <c r="C44" s="31">
        <f t="shared" si="14"/>
        <v>196</v>
      </c>
      <c r="D44" s="32">
        <f t="shared" si="2"/>
        <v>23.85526316</v>
      </c>
      <c r="E44" s="34"/>
      <c r="F44" s="32">
        <f t="shared" si="15"/>
        <v>0</v>
      </c>
      <c r="G44" s="31">
        <v>1228.64</v>
      </c>
      <c r="H44" s="32">
        <f t="shared" si="3"/>
        <v>1474.368</v>
      </c>
      <c r="I44" s="32">
        <f t="shared" si="4"/>
        <v>1597.232</v>
      </c>
      <c r="J44" s="32">
        <f t="shared" si="5"/>
        <v>1842.96</v>
      </c>
      <c r="K44" s="32">
        <f t="shared" si="6"/>
        <v>2088.688</v>
      </c>
      <c r="L44" s="34"/>
      <c r="M44" s="32">
        <f t="shared" si="7"/>
        <v>8600.48</v>
      </c>
      <c r="N44" s="32">
        <f t="shared" si="8"/>
        <v>10320.576</v>
      </c>
      <c r="O44" s="32">
        <f t="shared" si="9"/>
        <v>11180.624</v>
      </c>
      <c r="P44" s="32">
        <f t="shared" si="10"/>
        <v>12900.72</v>
      </c>
      <c r="Q44" s="32">
        <f t="shared" si="11"/>
        <v>14620.816</v>
      </c>
      <c r="R44" s="32">
        <f t="shared" ref="R44:V44" si="47">M44/3500</f>
        <v>2.45728</v>
      </c>
      <c r="S44" s="32">
        <f t="shared" si="47"/>
        <v>2.948736</v>
      </c>
      <c r="T44" s="32">
        <f t="shared" si="47"/>
        <v>3.194464</v>
      </c>
      <c r="U44" s="32">
        <f t="shared" si="47"/>
        <v>3.68592</v>
      </c>
      <c r="V44" s="32">
        <f t="shared" si="47"/>
        <v>4.177376</v>
      </c>
    </row>
    <row r="45">
      <c r="B45" s="30">
        <f t="shared" si="13"/>
        <v>46306</v>
      </c>
      <c r="C45" s="31">
        <f t="shared" si="14"/>
        <v>194</v>
      </c>
      <c r="D45" s="32">
        <f t="shared" si="2"/>
        <v>23.61184211</v>
      </c>
      <c r="E45" s="34"/>
      <c r="F45" s="32">
        <f t="shared" si="15"/>
        <v>0</v>
      </c>
      <c r="G45" s="31">
        <v>1228.64</v>
      </c>
      <c r="H45" s="32">
        <f t="shared" si="3"/>
        <v>1474.368</v>
      </c>
      <c r="I45" s="32">
        <f t="shared" si="4"/>
        <v>1597.232</v>
      </c>
      <c r="J45" s="32">
        <f t="shared" si="5"/>
        <v>1842.96</v>
      </c>
      <c r="K45" s="32">
        <f t="shared" si="6"/>
        <v>2088.688</v>
      </c>
      <c r="L45" s="34"/>
      <c r="M45" s="32">
        <f t="shared" si="7"/>
        <v>8600.48</v>
      </c>
      <c r="N45" s="32">
        <f t="shared" si="8"/>
        <v>10320.576</v>
      </c>
      <c r="O45" s="32">
        <f t="shared" si="9"/>
        <v>11180.624</v>
      </c>
      <c r="P45" s="32">
        <f t="shared" si="10"/>
        <v>12900.72</v>
      </c>
      <c r="Q45" s="32">
        <f t="shared" si="11"/>
        <v>14620.816</v>
      </c>
      <c r="R45" s="32">
        <f t="shared" ref="R45:V45" si="48">M45/3500</f>
        <v>2.45728</v>
      </c>
      <c r="S45" s="32">
        <f t="shared" si="48"/>
        <v>2.948736</v>
      </c>
      <c r="T45" s="32">
        <f t="shared" si="48"/>
        <v>3.194464</v>
      </c>
      <c r="U45" s="32">
        <f t="shared" si="48"/>
        <v>3.68592</v>
      </c>
      <c r="V45" s="32">
        <f t="shared" si="48"/>
        <v>4.177376</v>
      </c>
    </row>
    <row r="46">
      <c r="B46" s="30">
        <f t="shared" si="13"/>
        <v>46313</v>
      </c>
      <c r="C46" s="31">
        <f t="shared" si="14"/>
        <v>192</v>
      </c>
      <c r="D46" s="32">
        <f t="shared" si="2"/>
        <v>23.36842105</v>
      </c>
      <c r="E46" s="34"/>
      <c r="F46" s="32">
        <f t="shared" si="15"/>
        <v>0</v>
      </c>
      <c r="G46" s="31">
        <v>1228.64</v>
      </c>
      <c r="H46" s="32">
        <f t="shared" si="3"/>
        <v>1474.368</v>
      </c>
      <c r="I46" s="32">
        <f t="shared" si="4"/>
        <v>1597.232</v>
      </c>
      <c r="J46" s="32">
        <f t="shared" si="5"/>
        <v>1842.96</v>
      </c>
      <c r="K46" s="32">
        <f t="shared" si="6"/>
        <v>2088.688</v>
      </c>
      <c r="L46" s="34"/>
      <c r="M46" s="32">
        <f t="shared" si="7"/>
        <v>8600.48</v>
      </c>
      <c r="N46" s="32">
        <f t="shared" si="8"/>
        <v>10320.576</v>
      </c>
      <c r="O46" s="32">
        <f t="shared" si="9"/>
        <v>11180.624</v>
      </c>
      <c r="P46" s="32">
        <f t="shared" si="10"/>
        <v>12900.72</v>
      </c>
      <c r="Q46" s="32">
        <f t="shared" si="11"/>
        <v>14620.816</v>
      </c>
      <c r="R46" s="32">
        <f t="shared" ref="R46:V46" si="49">M46/3500</f>
        <v>2.45728</v>
      </c>
      <c r="S46" s="32">
        <f t="shared" si="49"/>
        <v>2.948736</v>
      </c>
      <c r="T46" s="32">
        <f t="shared" si="49"/>
        <v>3.194464</v>
      </c>
      <c r="U46" s="32">
        <f t="shared" si="49"/>
        <v>3.68592</v>
      </c>
      <c r="V46" s="32">
        <f t="shared" si="49"/>
        <v>4.177376</v>
      </c>
    </row>
    <row r="47">
      <c r="B47" s="30">
        <f t="shared" si="13"/>
        <v>46320</v>
      </c>
      <c r="C47" s="31">
        <f t="shared" si="14"/>
        <v>190</v>
      </c>
      <c r="D47" s="32">
        <f t="shared" si="2"/>
        <v>23.125</v>
      </c>
      <c r="E47" s="34"/>
      <c r="F47" s="32">
        <f t="shared" si="15"/>
        <v>0</v>
      </c>
      <c r="G47" s="31">
        <v>1228.64</v>
      </c>
      <c r="H47" s="32">
        <f t="shared" si="3"/>
        <v>1474.368</v>
      </c>
      <c r="I47" s="32">
        <f t="shared" si="4"/>
        <v>1597.232</v>
      </c>
      <c r="J47" s="32">
        <f t="shared" si="5"/>
        <v>1842.96</v>
      </c>
      <c r="K47" s="32">
        <f t="shared" si="6"/>
        <v>2088.688</v>
      </c>
      <c r="L47" s="34"/>
      <c r="M47" s="32">
        <f t="shared" si="7"/>
        <v>8600.48</v>
      </c>
      <c r="N47" s="32">
        <f t="shared" si="8"/>
        <v>10320.576</v>
      </c>
      <c r="O47" s="32">
        <f t="shared" si="9"/>
        <v>11180.624</v>
      </c>
      <c r="P47" s="32">
        <f t="shared" si="10"/>
        <v>12900.72</v>
      </c>
      <c r="Q47" s="32">
        <f t="shared" si="11"/>
        <v>14620.816</v>
      </c>
      <c r="R47" s="32">
        <f t="shared" ref="R47:V47" si="50">M47/3500</f>
        <v>2.45728</v>
      </c>
      <c r="S47" s="32">
        <f t="shared" si="50"/>
        <v>2.948736</v>
      </c>
      <c r="T47" s="32">
        <f t="shared" si="50"/>
        <v>3.194464</v>
      </c>
      <c r="U47" s="32">
        <f t="shared" si="50"/>
        <v>3.68592</v>
      </c>
      <c r="V47" s="32">
        <f t="shared" si="50"/>
        <v>4.177376</v>
      </c>
    </row>
    <row r="48">
      <c r="B48" s="30">
        <f t="shared" si="13"/>
        <v>46327</v>
      </c>
      <c r="C48" s="31">
        <f t="shared" si="14"/>
        <v>188</v>
      </c>
      <c r="D48" s="32">
        <f t="shared" si="2"/>
        <v>22.88157895</v>
      </c>
      <c r="E48" s="34"/>
      <c r="F48" s="32">
        <f t="shared" si="15"/>
        <v>0</v>
      </c>
      <c r="G48" s="31">
        <v>1228.64</v>
      </c>
      <c r="H48" s="32">
        <f t="shared" si="3"/>
        <v>1474.368</v>
      </c>
      <c r="I48" s="32">
        <f t="shared" si="4"/>
        <v>1597.232</v>
      </c>
      <c r="J48" s="32">
        <f t="shared" si="5"/>
        <v>1842.96</v>
      </c>
      <c r="K48" s="32">
        <f t="shared" si="6"/>
        <v>2088.688</v>
      </c>
      <c r="L48" s="34"/>
      <c r="M48" s="32">
        <f t="shared" si="7"/>
        <v>8600.48</v>
      </c>
      <c r="N48" s="32">
        <f t="shared" si="8"/>
        <v>10320.576</v>
      </c>
      <c r="O48" s="32">
        <f t="shared" si="9"/>
        <v>11180.624</v>
      </c>
      <c r="P48" s="32">
        <f t="shared" si="10"/>
        <v>12900.72</v>
      </c>
      <c r="Q48" s="32">
        <f t="shared" si="11"/>
        <v>14620.816</v>
      </c>
      <c r="R48" s="32">
        <f t="shared" ref="R48:V48" si="51">M48/3500</f>
        <v>2.45728</v>
      </c>
      <c r="S48" s="32">
        <f t="shared" si="51"/>
        <v>2.948736</v>
      </c>
      <c r="T48" s="32">
        <f t="shared" si="51"/>
        <v>3.194464</v>
      </c>
      <c r="U48" s="32">
        <f t="shared" si="51"/>
        <v>3.68592</v>
      </c>
      <c r="V48" s="32">
        <f t="shared" si="51"/>
        <v>4.177376</v>
      </c>
    </row>
    <row r="49">
      <c r="B49" s="30">
        <f t="shared" si="13"/>
        <v>46334</v>
      </c>
      <c r="C49" s="31">
        <f t="shared" si="14"/>
        <v>186</v>
      </c>
      <c r="D49" s="32">
        <f t="shared" si="2"/>
        <v>22.63815789</v>
      </c>
      <c r="E49" s="34"/>
      <c r="F49" s="32">
        <f t="shared" si="15"/>
        <v>0</v>
      </c>
      <c r="G49" s="31">
        <v>1228.64</v>
      </c>
      <c r="H49" s="32">
        <f t="shared" si="3"/>
        <v>1474.368</v>
      </c>
      <c r="I49" s="32">
        <f t="shared" si="4"/>
        <v>1597.232</v>
      </c>
      <c r="J49" s="32">
        <f t="shared" si="5"/>
        <v>1842.96</v>
      </c>
      <c r="K49" s="32">
        <f t="shared" si="6"/>
        <v>2088.688</v>
      </c>
      <c r="L49" s="34"/>
      <c r="M49" s="32">
        <f t="shared" si="7"/>
        <v>8600.48</v>
      </c>
      <c r="N49" s="32">
        <f t="shared" si="8"/>
        <v>10320.576</v>
      </c>
      <c r="O49" s="32">
        <f t="shared" si="9"/>
        <v>11180.624</v>
      </c>
      <c r="P49" s="32">
        <f t="shared" si="10"/>
        <v>12900.72</v>
      </c>
      <c r="Q49" s="32">
        <f t="shared" si="11"/>
        <v>14620.816</v>
      </c>
      <c r="R49" s="32">
        <f t="shared" ref="R49:V49" si="52">M49/3500</f>
        <v>2.45728</v>
      </c>
      <c r="S49" s="32">
        <f t="shared" si="52"/>
        <v>2.948736</v>
      </c>
      <c r="T49" s="32">
        <f t="shared" si="52"/>
        <v>3.194464</v>
      </c>
      <c r="U49" s="32">
        <f t="shared" si="52"/>
        <v>3.68592</v>
      </c>
      <c r="V49" s="32">
        <f t="shared" si="52"/>
        <v>4.177376</v>
      </c>
    </row>
    <row r="50">
      <c r="B50" s="30">
        <f t="shared" si="13"/>
        <v>46341</v>
      </c>
      <c r="C50" s="31">
        <f t="shared" si="14"/>
        <v>184</v>
      </c>
      <c r="D50" s="32">
        <f t="shared" si="2"/>
        <v>22.39473684</v>
      </c>
      <c r="E50" s="34"/>
      <c r="F50" s="32">
        <f t="shared" si="15"/>
        <v>0</v>
      </c>
      <c r="G50" s="31">
        <v>1228.64</v>
      </c>
      <c r="H50" s="32">
        <f t="shared" si="3"/>
        <v>1474.368</v>
      </c>
      <c r="I50" s="32">
        <f t="shared" si="4"/>
        <v>1597.232</v>
      </c>
      <c r="J50" s="32">
        <f t="shared" si="5"/>
        <v>1842.96</v>
      </c>
      <c r="K50" s="32">
        <f t="shared" si="6"/>
        <v>2088.688</v>
      </c>
      <c r="L50" s="34"/>
      <c r="M50" s="32">
        <f t="shared" si="7"/>
        <v>8600.48</v>
      </c>
      <c r="N50" s="32">
        <f t="shared" si="8"/>
        <v>10320.576</v>
      </c>
      <c r="O50" s="32">
        <f t="shared" si="9"/>
        <v>11180.624</v>
      </c>
      <c r="P50" s="32">
        <f t="shared" si="10"/>
        <v>12900.72</v>
      </c>
      <c r="Q50" s="32">
        <f t="shared" si="11"/>
        <v>14620.816</v>
      </c>
      <c r="R50" s="32">
        <f t="shared" ref="R50:V50" si="53">M50/3500</f>
        <v>2.45728</v>
      </c>
      <c r="S50" s="32">
        <f t="shared" si="53"/>
        <v>2.948736</v>
      </c>
      <c r="T50" s="32">
        <f t="shared" si="53"/>
        <v>3.194464</v>
      </c>
      <c r="U50" s="32">
        <f t="shared" si="53"/>
        <v>3.68592</v>
      </c>
      <c r="V50" s="32">
        <f t="shared" si="53"/>
        <v>4.177376</v>
      </c>
    </row>
    <row r="51">
      <c r="B51" s="30">
        <f t="shared" si="13"/>
        <v>46348</v>
      </c>
      <c r="C51" s="31">
        <f t="shared" si="14"/>
        <v>182</v>
      </c>
      <c r="D51" s="32">
        <f t="shared" si="2"/>
        <v>22.15131579</v>
      </c>
      <c r="E51" s="34"/>
      <c r="F51" s="32">
        <f t="shared" si="15"/>
        <v>0</v>
      </c>
      <c r="G51" s="31">
        <v>1228.64</v>
      </c>
      <c r="H51" s="32">
        <f t="shared" si="3"/>
        <v>1474.368</v>
      </c>
      <c r="I51" s="32">
        <f t="shared" si="4"/>
        <v>1597.232</v>
      </c>
      <c r="J51" s="32">
        <f t="shared" si="5"/>
        <v>1842.96</v>
      </c>
      <c r="K51" s="32">
        <f t="shared" si="6"/>
        <v>2088.688</v>
      </c>
      <c r="L51" s="34"/>
      <c r="M51" s="32">
        <f t="shared" si="7"/>
        <v>8600.48</v>
      </c>
      <c r="N51" s="32">
        <f t="shared" si="8"/>
        <v>10320.576</v>
      </c>
      <c r="O51" s="32">
        <f t="shared" si="9"/>
        <v>11180.624</v>
      </c>
      <c r="P51" s="32">
        <f t="shared" si="10"/>
        <v>12900.72</v>
      </c>
      <c r="Q51" s="32">
        <f t="shared" si="11"/>
        <v>14620.816</v>
      </c>
      <c r="R51" s="32">
        <f t="shared" ref="R51:V51" si="54">M51/3500</f>
        <v>2.45728</v>
      </c>
      <c r="S51" s="32">
        <f t="shared" si="54"/>
        <v>2.948736</v>
      </c>
      <c r="T51" s="32">
        <f t="shared" si="54"/>
        <v>3.194464</v>
      </c>
      <c r="U51" s="32">
        <f t="shared" si="54"/>
        <v>3.68592</v>
      </c>
      <c r="V51" s="32">
        <f t="shared" si="54"/>
        <v>4.177376</v>
      </c>
    </row>
    <row r="52">
      <c r="B52" s="30">
        <f t="shared" si="13"/>
        <v>46355</v>
      </c>
      <c r="C52" s="31">
        <f t="shared" si="14"/>
        <v>180</v>
      </c>
      <c r="D52" s="32">
        <f t="shared" si="2"/>
        <v>21.90789474</v>
      </c>
      <c r="E52" s="34"/>
      <c r="F52" s="32">
        <f t="shared" si="15"/>
        <v>0</v>
      </c>
      <c r="G52" s="31">
        <v>1228.64</v>
      </c>
      <c r="H52" s="32">
        <f t="shared" si="3"/>
        <v>1474.368</v>
      </c>
      <c r="I52" s="32">
        <f t="shared" si="4"/>
        <v>1597.232</v>
      </c>
      <c r="J52" s="32">
        <f t="shared" si="5"/>
        <v>1842.96</v>
      </c>
      <c r="K52" s="32">
        <f t="shared" si="6"/>
        <v>2088.688</v>
      </c>
      <c r="L52" s="34"/>
      <c r="M52" s="32">
        <f t="shared" si="7"/>
        <v>8600.48</v>
      </c>
      <c r="N52" s="32">
        <f t="shared" si="8"/>
        <v>10320.576</v>
      </c>
      <c r="O52" s="32">
        <f t="shared" si="9"/>
        <v>11180.624</v>
      </c>
      <c r="P52" s="32">
        <f t="shared" si="10"/>
        <v>12900.72</v>
      </c>
      <c r="Q52" s="32">
        <f t="shared" si="11"/>
        <v>14620.816</v>
      </c>
      <c r="R52" s="32">
        <f t="shared" ref="R52:V52" si="55">M52/3500</f>
        <v>2.45728</v>
      </c>
      <c r="S52" s="32">
        <f t="shared" si="55"/>
        <v>2.948736</v>
      </c>
      <c r="T52" s="32">
        <f t="shared" si="55"/>
        <v>3.194464</v>
      </c>
      <c r="U52" s="32">
        <f t="shared" si="55"/>
        <v>3.68592</v>
      </c>
      <c r="V52" s="32">
        <f t="shared" si="55"/>
        <v>4.177376</v>
      </c>
    </row>
    <row r="53">
      <c r="B53" s="30">
        <f t="shared" si="13"/>
        <v>46362</v>
      </c>
      <c r="C53" s="31">
        <f t="shared" si="14"/>
        <v>178</v>
      </c>
      <c r="D53" s="32">
        <f t="shared" si="2"/>
        <v>21.66447368</v>
      </c>
      <c r="E53" s="34"/>
      <c r="F53" s="32">
        <f t="shared" si="15"/>
        <v>0</v>
      </c>
      <c r="G53" s="31">
        <v>1228.64</v>
      </c>
      <c r="H53" s="32">
        <f t="shared" si="3"/>
        <v>1474.368</v>
      </c>
      <c r="I53" s="32">
        <f t="shared" si="4"/>
        <v>1597.232</v>
      </c>
      <c r="J53" s="32">
        <f t="shared" si="5"/>
        <v>1842.96</v>
      </c>
      <c r="K53" s="32">
        <f t="shared" si="6"/>
        <v>2088.688</v>
      </c>
      <c r="L53" s="34"/>
      <c r="M53" s="32">
        <f t="shared" si="7"/>
        <v>8600.48</v>
      </c>
      <c r="N53" s="32">
        <f t="shared" si="8"/>
        <v>10320.576</v>
      </c>
      <c r="O53" s="32">
        <f t="shared" si="9"/>
        <v>11180.624</v>
      </c>
      <c r="P53" s="32">
        <f t="shared" si="10"/>
        <v>12900.72</v>
      </c>
      <c r="Q53" s="32">
        <f t="shared" si="11"/>
        <v>14620.816</v>
      </c>
      <c r="R53" s="32">
        <f t="shared" ref="R53:V53" si="56">M53/3500</f>
        <v>2.45728</v>
      </c>
      <c r="S53" s="32">
        <f t="shared" si="56"/>
        <v>2.948736</v>
      </c>
      <c r="T53" s="32">
        <f t="shared" si="56"/>
        <v>3.194464</v>
      </c>
      <c r="U53" s="32">
        <f t="shared" si="56"/>
        <v>3.68592</v>
      </c>
      <c r="V53" s="32">
        <f t="shared" si="56"/>
        <v>4.177376</v>
      </c>
    </row>
    <row r="54">
      <c r="B54" s="30">
        <f t="shared" si="13"/>
        <v>46369</v>
      </c>
      <c r="C54" s="31">
        <f t="shared" si="14"/>
        <v>176</v>
      </c>
      <c r="D54" s="32">
        <f t="shared" si="2"/>
        <v>21.42105263</v>
      </c>
      <c r="E54" s="34"/>
      <c r="F54" s="32">
        <f t="shared" si="15"/>
        <v>0</v>
      </c>
      <c r="G54" s="31">
        <v>1228.64</v>
      </c>
      <c r="H54" s="32">
        <f t="shared" si="3"/>
        <v>1474.368</v>
      </c>
      <c r="I54" s="32">
        <f t="shared" si="4"/>
        <v>1597.232</v>
      </c>
      <c r="J54" s="32">
        <f t="shared" si="5"/>
        <v>1842.96</v>
      </c>
      <c r="K54" s="32">
        <f t="shared" si="6"/>
        <v>2088.688</v>
      </c>
      <c r="L54" s="34"/>
      <c r="M54" s="32">
        <f t="shared" si="7"/>
        <v>8600.48</v>
      </c>
      <c r="N54" s="32">
        <f t="shared" si="8"/>
        <v>10320.576</v>
      </c>
      <c r="O54" s="32">
        <f t="shared" si="9"/>
        <v>11180.624</v>
      </c>
      <c r="P54" s="32">
        <f t="shared" si="10"/>
        <v>12900.72</v>
      </c>
      <c r="Q54" s="32">
        <f t="shared" si="11"/>
        <v>14620.816</v>
      </c>
      <c r="R54" s="32">
        <f t="shared" ref="R54:V54" si="57">M54/3500</f>
        <v>2.45728</v>
      </c>
      <c r="S54" s="32">
        <f t="shared" si="57"/>
        <v>2.948736</v>
      </c>
      <c r="T54" s="32">
        <f t="shared" si="57"/>
        <v>3.194464</v>
      </c>
      <c r="U54" s="32">
        <f t="shared" si="57"/>
        <v>3.68592</v>
      </c>
      <c r="V54" s="32">
        <f t="shared" si="57"/>
        <v>4.177376</v>
      </c>
    </row>
    <row r="55">
      <c r="B55" s="30">
        <f t="shared" si="13"/>
        <v>46376</v>
      </c>
      <c r="C55" s="31">
        <f t="shared" si="14"/>
        <v>174</v>
      </c>
      <c r="D55" s="32">
        <f t="shared" si="2"/>
        <v>21.17763158</v>
      </c>
      <c r="E55" s="34"/>
      <c r="F55" s="32">
        <f t="shared" si="15"/>
        <v>0</v>
      </c>
      <c r="G55" s="31">
        <v>1228.64</v>
      </c>
      <c r="H55" s="32">
        <f t="shared" si="3"/>
        <v>1474.368</v>
      </c>
      <c r="I55" s="32">
        <f t="shared" si="4"/>
        <v>1597.232</v>
      </c>
      <c r="J55" s="32">
        <f t="shared" si="5"/>
        <v>1842.96</v>
      </c>
      <c r="K55" s="32">
        <f t="shared" si="6"/>
        <v>2088.688</v>
      </c>
      <c r="L55" s="34"/>
      <c r="M55" s="32">
        <f t="shared" si="7"/>
        <v>8600.48</v>
      </c>
      <c r="N55" s="32">
        <f t="shared" si="8"/>
        <v>10320.576</v>
      </c>
      <c r="O55" s="32">
        <f t="shared" si="9"/>
        <v>11180.624</v>
      </c>
      <c r="P55" s="32">
        <f t="shared" si="10"/>
        <v>12900.72</v>
      </c>
      <c r="Q55" s="32">
        <f t="shared" si="11"/>
        <v>14620.816</v>
      </c>
      <c r="R55" s="32">
        <f t="shared" ref="R55:V55" si="58">M55/3500</f>
        <v>2.45728</v>
      </c>
      <c r="S55" s="32">
        <f t="shared" si="58"/>
        <v>2.948736</v>
      </c>
      <c r="T55" s="32">
        <f t="shared" si="58"/>
        <v>3.194464</v>
      </c>
      <c r="U55" s="32">
        <f t="shared" si="58"/>
        <v>3.68592</v>
      </c>
      <c r="V55" s="32">
        <f t="shared" si="58"/>
        <v>4.177376</v>
      </c>
    </row>
    <row r="56">
      <c r="B56" s="30">
        <f t="shared" si="13"/>
        <v>46383</v>
      </c>
      <c r="C56" s="31">
        <f t="shared" si="14"/>
        <v>172</v>
      </c>
      <c r="D56" s="32">
        <f t="shared" si="2"/>
        <v>20.93421053</v>
      </c>
      <c r="E56" s="34"/>
      <c r="F56" s="32">
        <f t="shared" si="15"/>
        <v>0</v>
      </c>
      <c r="G56" s="31">
        <v>1228.64</v>
      </c>
      <c r="H56" s="32">
        <f t="shared" si="3"/>
        <v>1474.368</v>
      </c>
      <c r="I56" s="32">
        <f t="shared" si="4"/>
        <v>1597.232</v>
      </c>
      <c r="J56" s="32">
        <f t="shared" si="5"/>
        <v>1842.96</v>
      </c>
      <c r="K56" s="32">
        <f t="shared" si="6"/>
        <v>2088.688</v>
      </c>
      <c r="L56" s="34"/>
      <c r="M56" s="32">
        <f t="shared" si="7"/>
        <v>8600.48</v>
      </c>
      <c r="N56" s="32">
        <f t="shared" si="8"/>
        <v>10320.576</v>
      </c>
      <c r="O56" s="32">
        <f t="shared" si="9"/>
        <v>11180.624</v>
      </c>
      <c r="P56" s="32">
        <f t="shared" si="10"/>
        <v>12900.72</v>
      </c>
      <c r="Q56" s="32">
        <f t="shared" si="11"/>
        <v>14620.816</v>
      </c>
      <c r="R56" s="32">
        <f t="shared" ref="R56:V56" si="59">M56/3500</f>
        <v>2.45728</v>
      </c>
      <c r="S56" s="32">
        <f t="shared" si="59"/>
        <v>2.948736</v>
      </c>
      <c r="T56" s="32">
        <f t="shared" si="59"/>
        <v>3.194464</v>
      </c>
      <c r="U56" s="32">
        <f t="shared" si="59"/>
        <v>3.68592</v>
      </c>
      <c r="V56" s="32">
        <f t="shared" si="59"/>
        <v>4.177376</v>
      </c>
    </row>
    <row r="57">
      <c r="B57" s="30">
        <f t="shared" si="13"/>
        <v>46390</v>
      </c>
      <c r="C57" s="31">
        <f t="shared" si="14"/>
        <v>170</v>
      </c>
      <c r="D57" s="32">
        <f t="shared" si="2"/>
        <v>20.69078947</v>
      </c>
      <c r="E57" s="34"/>
      <c r="F57" s="32">
        <f t="shared" si="15"/>
        <v>0</v>
      </c>
      <c r="G57" s="31">
        <v>1228.64</v>
      </c>
      <c r="H57" s="32">
        <f t="shared" si="3"/>
        <v>1474.368</v>
      </c>
      <c r="I57" s="32">
        <f t="shared" si="4"/>
        <v>1597.232</v>
      </c>
      <c r="J57" s="32">
        <f t="shared" si="5"/>
        <v>1842.96</v>
      </c>
      <c r="K57" s="32">
        <f t="shared" si="6"/>
        <v>2088.688</v>
      </c>
      <c r="L57" s="34"/>
      <c r="M57" s="32">
        <f t="shared" si="7"/>
        <v>8600.48</v>
      </c>
      <c r="N57" s="32">
        <f t="shared" si="8"/>
        <v>10320.576</v>
      </c>
      <c r="O57" s="32">
        <f t="shared" si="9"/>
        <v>11180.624</v>
      </c>
      <c r="P57" s="32">
        <f t="shared" si="10"/>
        <v>12900.72</v>
      </c>
      <c r="Q57" s="32">
        <f t="shared" si="11"/>
        <v>14620.816</v>
      </c>
      <c r="R57" s="32">
        <f t="shared" ref="R57:V57" si="60">M57/3500</f>
        <v>2.45728</v>
      </c>
      <c r="S57" s="32">
        <f t="shared" si="60"/>
        <v>2.948736</v>
      </c>
      <c r="T57" s="32">
        <f t="shared" si="60"/>
        <v>3.194464</v>
      </c>
      <c r="U57" s="32">
        <f t="shared" si="60"/>
        <v>3.68592</v>
      </c>
      <c r="V57" s="32">
        <f t="shared" si="60"/>
        <v>4.177376</v>
      </c>
    </row>
    <row r="58">
      <c r="B58" s="30">
        <f t="shared" si="13"/>
        <v>46397</v>
      </c>
      <c r="C58" s="31">
        <f t="shared" si="14"/>
        <v>168</v>
      </c>
      <c r="D58" s="32">
        <f t="shared" si="2"/>
        <v>20.44736842</v>
      </c>
      <c r="E58" s="34"/>
      <c r="F58" s="32">
        <f t="shared" si="15"/>
        <v>0</v>
      </c>
      <c r="G58" s="31">
        <v>1228.64</v>
      </c>
      <c r="H58" s="32">
        <f t="shared" si="3"/>
        <v>1474.368</v>
      </c>
      <c r="I58" s="32">
        <f t="shared" si="4"/>
        <v>1597.232</v>
      </c>
      <c r="J58" s="32">
        <f t="shared" si="5"/>
        <v>1842.96</v>
      </c>
      <c r="K58" s="32">
        <f t="shared" si="6"/>
        <v>2088.688</v>
      </c>
      <c r="L58" s="34"/>
      <c r="M58" s="32">
        <f t="shared" si="7"/>
        <v>8600.48</v>
      </c>
      <c r="N58" s="32">
        <f t="shared" si="8"/>
        <v>10320.576</v>
      </c>
      <c r="O58" s="32">
        <f t="shared" si="9"/>
        <v>11180.624</v>
      </c>
      <c r="P58" s="32">
        <f t="shared" si="10"/>
        <v>12900.72</v>
      </c>
      <c r="Q58" s="32">
        <f t="shared" si="11"/>
        <v>14620.816</v>
      </c>
      <c r="R58" s="32">
        <f t="shared" ref="R58:V58" si="61">M58/3500</f>
        <v>2.45728</v>
      </c>
      <c r="S58" s="32">
        <f t="shared" si="61"/>
        <v>2.948736</v>
      </c>
      <c r="T58" s="32">
        <f t="shared" si="61"/>
        <v>3.194464</v>
      </c>
      <c r="U58" s="32">
        <f t="shared" si="61"/>
        <v>3.68592</v>
      </c>
      <c r="V58" s="32">
        <f t="shared" si="61"/>
        <v>4.177376</v>
      </c>
    </row>
    <row r="59">
      <c r="B59" s="30">
        <f t="shared" si="13"/>
        <v>46404</v>
      </c>
      <c r="C59" s="31">
        <f t="shared" si="14"/>
        <v>166</v>
      </c>
      <c r="D59" s="32">
        <f t="shared" si="2"/>
        <v>20.20394737</v>
      </c>
      <c r="E59" s="34"/>
      <c r="F59" s="32">
        <f t="shared" si="15"/>
        <v>0</v>
      </c>
      <c r="G59" s="31">
        <v>1228.64</v>
      </c>
      <c r="H59" s="32">
        <f t="shared" si="3"/>
        <v>1474.368</v>
      </c>
      <c r="I59" s="32">
        <f t="shared" si="4"/>
        <v>1597.232</v>
      </c>
      <c r="J59" s="32">
        <f t="shared" si="5"/>
        <v>1842.96</v>
      </c>
      <c r="K59" s="32">
        <f t="shared" si="6"/>
        <v>2088.688</v>
      </c>
      <c r="L59" s="34"/>
      <c r="M59" s="32">
        <f t="shared" si="7"/>
        <v>8600.48</v>
      </c>
      <c r="N59" s="32">
        <f t="shared" si="8"/>
        <v>10320.576</v>
      </c>
      <c r="O59" s="32">
        <f t="shared" si="9"/>
        <v>11180.624</v>
      </c>
      <c r="P59" s="32">
        <f t="shared" si="10"/>
        <v>12900.72</v>
      </c>
      <c r="Q59" s="32">
        <f t="shared" si="11"/>
        <v>14620.816</v>
      </c>
      <c r="R59" s="32">
        <f t="shared" ref="R59:V59" si="62">M59/3500</f>
        <v>2.45728</v>
      </c>
      <c r="S59" s="32">
        <f t="shared" si="62"/>
        <v>2.948736</v>
      </c>
      <c r="T59" s="32">
        <f t="shared" si="62"/>
        <v>3.194464</v>
      </c>
      <c r="U59" s="32">
        <f t="shared" si="62"/>
        <v>3.68592</v>
      </c>
      <c r="V59" s="32">
        <f t="shared" si="62"/>
        <v>4.177376</v>
      </c>
    </row>
    <row r="60">
      <c r="B60" s="30">
        <f t="shared" si="13"/>
        <v>46411</v>
      </c>
      <c r="C60" s="31">
        <f t="shared" si="14"/>
        <v>164</v>
      </c>
      <c r="D60" s="32">
        <f t="shared" si="2"/>
        <v>19.96052632</v>
      </c>
      <c r="E60" s="34"/>
      <c r="F60" s="32">
        <f t="shared" si="15"/>
        <v>0</v>
      </c>
      <c r="G60" s="31">
        <v>1228.64</v>
      </c>
      <c r="H60" s="32">
        <f t="shared" si="3"/>
        <v>1474.368</v>
      </c>
      <c r="I60" s="32">
        <f t="shared" si="4"/>
        <v>1597.232</v>
      </c>
      <c r="J60" s="32">
        <f t="shared" si="5"/>
        <v>1842.96</v>
      </c>
      <c r="K60" s="32">
        <f t="shared" si="6"/>
        <v>2088.688</v>
      </c>
      <c r="L60" s="34"/>
      <c r="M60" s="32">
        <f t="shared" si="7"/>
        <v>8600.48</v>
      </c>
      <c r="N60" s="32">
        <f t="shared" si="8"/>
        <v>10320.576</v>
      </c>
      <c r="O60" s="32">
        <f t="shared" si="9"/>
        <v>11180.624</v>
      </c>
      <c r="P60" s="32">
        <f t="shared" si="10"/>
        <v>12900.72</v>
      </c>
      <c r="Q60" s="32">
        <f t="shared" si="11"/>
        <v>14620.816</v>
      </c>
      <c r="R60" s="32">
        <f t="shared" ref="R60:V60" si="63">M60/3500</f>
        <v>2.45728</v>
      </c>
      <c r="S60" s="32">
        <f t="shared" si="63"/>
        <v>2.948736</v>
      </c>
      <c r="T60" s="32">
        <f t="shared" si="63"/>
        <v>3.194464</v>
      </c>
      <c r="U60" s="32">
        <f t="shared" si="63"/>
        <v>3.68592</v>
      </c>
      <c r="V60" s="32">
        <f t="shared" si="63"/>
        <v>4.177376</v>
      </c>
    </row>
    <row r="61">
      <c r="B61" s="30">
        <f t="shared" si="13"/>
        <v>46418</v>
      </c>
      <c r="C61" s="31">
        <f t="shared" si="14"/>
        <v>162</v>
      </c>
      <c r="D61" s="32">
        <f t="shared" si="2"/>
        <v>19.71710526</v>
      </c>
      <c r="E61" s="33"/>
      <c r="F61" s="32">
        <f t="shared" si="15"/>
        <v>0</v>
      </c>
      <c r="G61" s="31">
        <v>1228.64</v>
      </c>
      <c r="H61" s="32">
        <f t="shared" si="3"/>
        <v>1474.368</v>
      </c>
      <c r="I61" s="32">
        <f t="shared" si="4"/>
        <v>1597.232</v>
      </c>
      <c r="J61" s="32">
        <f t="shared" si="5"/>
        <v>1842.96</v>
      </c>
      <c r="K61" s="32">
        <f t="shared" si="6"/>
        <v>2088.688</v>
      </c>
      <c r="L61" s="34"/>
      <c r="M61" s="32">
        <f t="shared" si="7"/>
        <v>8600.48</v>
      </c>
      <c r="N61" s="32">
        <f t="shared" si="8"/>
        <v>10320.576</v>
      </c>
      <c r="O61" s="32">
        <f t="shared" si="9"/>
        <v>11180.624</v>
      </c>
      <c r="P61" s="32">
        <f t="shared" si="10"/>
        <v>12900.72</v>
      </c>
      <c r="Q61" s="32">
        <f t="shared" si="11"/>
        <v>14620.816</v>
      </c>
      <c r="R61" s="32">
        <f t="shared" ref="R61:V61" si="64">M61/3500</f>
        <v>2.45728</v>
      </c>
      <c r="S61" s="32">
        <f t="shared" si="64"/>
        <v>2.948736</v>
      </c>
      <c r="T61" s="32">
        <f t="shared" si="64"/>
        <v>3.194464</v>
      </c>
      <c r="U61" s="32">
        <f t="shared" si="64"/>
        <v>3.68592</v>
      </c>
      <c r="V61" s="32">
        <f t="shared" si="64"/>
        <v>4.177376</v>
      </c>
    </row>
    <row r="62">
      <c r="B62" s="30">
        <f t="shared" si="13"/>
        <v>46425</v>
      </c>
      <c r="C62" s="31">
        <f t="shared" si="14"/>
        <v>160</v>
      </c>
      <c r="D62" s="32">
        <f t="shared" si="2"/>
        <v>19.47368421</v>
      </c>
      <c r="E62" s="34"/>
      <c r="F62" s="32">
        <f t="shared" si="15"/>
        <v>0</v>
      </c>
      <c r="G62" s="31">
        <v>1228.64</v>
      </c>
      <c r="H62" s="32">
        <f t="shared" si="3"/>
        <v>1474.368</v>
      </c>
      <c r="I62" s="32">
        <f t="shared" si="4"/>
        <v>1597.232</v>
      </c>
      <c r="J62" s="32">
        <f t="shared" si="5"/>
        <v>1842.96</v>
      </c>
      <c r="K62" s="32">
        <f t="shared" si="6"/>
        <v>2088.688</v>
      </c>
      <c r="L62" s="34"/>
      <c r="M62" s="32">
        <f t="shared" si="7"/>
        <v>8600.48</v>
      </c>
      <c r="N62" s="32">
        <f t="shared" si="8"/>
        <v>10320.576</v>
      </c>
      <c r="O62" s="32">
        <f t="shared" si="9"/>
        <v>11180.624</v>
      </c>
      <c r="P62" s="32">
        <f t="shared" si="10"/>
        <v>12900.72</v>
      </c>
      <c r="Q62" s="32">
        <f t="shared" si="11"/>
        <v>14620.816</v>
      </c>
      <c r="R62" s="32">
        <f t="shared" ref="R62:V62" si="65">M62/3500</f>
        <v>2.45728</v>
      </c>
      <c r="S62" s="32">
        <f t="shared" si="65"/>
        <v>2.948736</v>
      </c>
      <c r="T62" s="32">
        <f t="shared" si="65"/>
        <v>3.194464</v>
      </c>
      <c r="U62" s="32">
        <f t="shared" si="65"/>
        <v>3.68592</v>
      </c>
      <c r="V62" s="32">
        <f t="shared" si="65"/>
        <v>4.177376</v>
      </c>
    </row>
    <row r="63">
      <c r="B63" s="30">
        <f t="shared" si="13"/>
        <v>46432</v>
      </c>
      <c r="C63" s="31">
        <f t="shared" si="14"/>
        <v>158</v>
      </c>
      <c r="D63" s="32">
        <f t="shared" si="2"/>
        <v>19.23026316</v>
      </c>
      <c r="E63" s="34"/>
      <c r="F63" s="32">
        <f t="shared" si="15"/>
        <v>0</v>
      </c>
      <c r="G63" s="31">
        <v>1228.64</v>
      </c>
      <c r="H63" s="32">
        <f t="shared" si="3"/>
        <v>1474.368</v>
      </c>
      <c r="I63" s="32">
        <f t="shared" si="4"/>
        <v>1597.232</v>
      </c>
      <c r="J63" s="32">
        <f t="shared" si="5"/>
        <v>1842.96</v>
      </c>
      <c r="K63" s="32">
        <f t="shared" si="6"/>
        <v>2088.688</v>
      </c>
      <c r="L63" s="34"/>
      <c r="M63" s="32">
        <f t="shared" si="7"/>
        <v>8600.48</v>
      </c>
      <c r="N63" s="32">
        <f t="shared" si="8"/>
        <v>10320.576</v>
      </c>
      <c r="O63" s="32">
        <f t="shared" si="9"/>
        <v>11180.624</v>
      </c>
      <c r="P63" s="32">
        <f t="shared" si="10"/>
        <v>12900.72</v>
      </c>
      <c r="Q63" s="32">
        <f t="shared" si="11"/>
        <v>14620.816</v>
      </c>
      <c r="R63" s="32">
        <f t="shared" ref="R63:V63" si="66">M63/3500</f>
        <v>2.45728</v>
      </c>
      <c r="S63" s="32">
        <f t="shared" si="66"/>
        <v>2.948736</v>
      </c>
      <c r="T63" s="32">
        <f t="shared" si="66"/>
        <v>3.194464</v>
      </c>
      <c r="U63" s="32">
        <f t="shared" si="66"/>
        <v>3.68592</v>
      </c>
      <c r="V63" s="32">
        <f t="shared" si="66"/>
        <v>4.177376</v>
      </c>
    </row>
    <row r="64">
      <c r="B64" s="30">
        <f t="shared" si="13"/>
        <v>46439</v>
      </c>
      <c r="C64" s="31">
        <f t="shared" si="14"/>
        <v>156</v>
      </c>
      <c r="D64" s="32">
        <f t="shared" si="2"/>
        <v>18.98684211</v>
      </c>
      <c r="E64" s="34"/>
      <c r="F64" s="32">
        <f t="shared" si="15"/>
        <v>0</v>
      </c>
      <c r="G64" s="31">
        <v>1228.64</v>
      </c>
      <c r="H64" s="32">
        <f t="shared" si="3"/>
        <v>1474.368</v>
      </c>
      <c r="I64" s="32">
        <f t="shared" si="4"/>
        <v>1597.232</v>
      </c>
      <c r="J64" s="32">
        <f t="shared" si="5"/>
        <v>1842.96</v>
      </c>
      <c r="K64" s="32">
        <f t="shared" si="6"/>
        <v>2088.688</v>
      </c>
      <c r="L64" s="34"/>
      <c r="M64" s="32">
        <f t="shared" si="7"/>
        <v>8600.48</v>
      </c>
      <c r="N64" s="32">
        <f t="shared" si="8"/>
        <v>10320.576</v>
      </c>
      <c r="O64" s="32">
        <f t="shared" si="9"/>
        <v>11180.624</v>
      </c>
      <c r="P64" s="32">
        <f t="shared" si="10"/>
        <v>12900.72</v>
      </c>
      <c r="Q64" s="32">
        <f t="shared" si="11"/>
        <v>14620.816</v>
      </c>
      <c r="R64" s="32">
        <f t="shared" ref="R64:V64" si="67">M64/3500</f>
        <v>2.45728</v>
      </c>
      <c r="S64" s="32">
        <f t="shared" si="67"/>
        <v>2.948736</v>
      </c>
      <c r="T64" s="32">
        <f t="shared" si="67"/>
        <v>3.194464</v>
      </c>
      <c r="U64" s="32">
        <f t="shared" si="67"/>
        <v>3.68592</v>
      </c>
      <c r="V64" s="32">
        <f t="shared" si="67"/>
        <v>4.177376</v>
      </c>
    </row>
    <row r="65">
      <c r="B65" s="35"/>
      <c r="C65" s="35"/>
      <c r="D65" s="35"/>
      <c r="E65" s="35"/>
      <c r="F65" s="35"/>
      <c r="G65" s="35"/>
    </row>
    <row r="66">
      <c r="B66" s="35"/>
      <c r="C66" s="35"/>
      <c r="D66" s="35"/>
      <c r="E66" s="35"/>
      <c r="F66" s="35"/>
      <c r="G66" s="35"/>
    </row>
    <row r="67">
      <c r="B67" s="35"/>
      <c r="C67" s="35"/>
      <c r="D67" s="35"/>
      <c r="E67" s="35"/>
      <c r="F67" s="35"/>
      <c r="G67" s="35"/>
    </row>
    <row r="68">
      <c r="B68" s="35"/>
      <c r="C68" s="35"/>
      <c r="D68" s="35"/>
      <c r="E68" s="35"/>
      <c r="F68" s="35"/>
      <c r="G68" s="35"/>
    </row>
    <row r="69">
      <c r="B69" s="35"/>
      <c r="C69" s="35"/>
      <c r="D69" s="35"/>
      <c r="E69" s="35"/>
      <c r="F69" s="35"/>
      <c r="G69" s="35"/>
    </row>
    <row r="70">
      <c r="B70" s="35"/>
      <c r="C70" s="35"/>
      <c r="D70" s="35"/>
      <c r="E70" s="35"/>
      <c r="F70" s="35"/>
      <c r="G70" s="35"/>
    </row>
    <row r="71">
      <c r="B71" s="35"/>
      <c r="C71" s="35"/>
      <c r="D71" s="35"/>
      <c r="E71" s="35"/>
      <c r="F71" s="35"/>
      <c r="G71" s="35"/>
    </row>
    <row r="72">
      <c r="B72" s="35"/>
      <c r="C72" s="35"/>
      <c r="D72" s="35"/>
      <c r="E72" s="35"/>
      <c r="F72" s="35"/>
      <c r="G72" s="35"/>
    </row>
    <row r="73">
      <c r="B73" s="35"/>
      <c r="C73" s="35"/>
      <c r="D73" s="35"/>
      <c r="E73" s="35"/>
      <c r="F73" s="35"/>
      <c r="G73" s="35"/>
    </row>
    <row r="74">
      <c r="B74" s="35"/>
      <c r="C74" s="35"/>
      <c r="D74" s="35"/>
      <c r="E74" s="35"/>
      <c r="F74" s="35"/>
      <c r="G74" s="35"/>
    </row>
    <row r="75">
      <c r="B75" s="35"/>
      <c r="C75" s="35"/>
      <c r="D75" s="35"/>
      <c r="E75" s="35"/>
      <c r="F75" s="35"/>
      <c r="G75" s="35"/>
    </row>
    <row r="76">
      <c r="B76" s="35"/>
      <c r="C76" s="35"/>
      <c r="D76" s="35"/>
      <c r="E76" s="35"/>
      <c r="F76" s="35"/>
      <c r="G76" s="35"/>
    </row>
    <row r="77">
      <c r="B77" s="35"/>
      <c r="C77" s="35"/>
      <c r="D77" s="35"/>
      <c r="E77" s="35"/>
      <c r="F77" s="35"/>
      <c r="G77" s="35"/>
    </row>
    <row r="78">
      <c r="B78" s="35"/>
      <c r="C78" s="35"/>
      <c r="D78" s="35"/>
      <c r="E78" s="35"/>
      <c r="F78" s="35"/>
      <c r="G78" s="35"/>
    </row>
    <row r="79">
      <c r="B79" s="35"/>
      <c r="C79" s="35"/>
      <c r="D79" s="35"/>
      <c r="E79" s="35"/>
      <c r="F79" s="35"/>
      <c r="G79" s="35"/>
    </row>
    <row r="80">
      <c r="B80" s="35"/>
      <c r="C80" s="35"/>
      <c r="D80" s="35"/>
      <c r="E80" s="35"/>
      <c r="F80" s="35"/>
      <c r="G80" s="35"/>
    </row>
    <row r="81">
      <c r="B81" s="35"/>
      <c r="C81" s="35"/>
      <c r="D81" s="35"/>
      <c r="E81" s="35"/>
      <c r="F81" s="35"/>
      <c r="G81" s="35"/>
    </row>
    <row r="82">
      <c r="B82" s="35"/>
      <c r="C82" s="35"/>
      <c r="D82" s="35"/>
      <c r="E82" s="35"/>
      <c r="F82" s="35"/>
      <c r="G82" s="35"/>
    </row>
    <row r="83">
      <c r="B83" s="35"/>
      <c r="C83" s="35"/>
      <c r="D83" s="35"/>
      <c r="E83" s="35"/>
      <c r="F83" s="35"/>
      <c r="G83" s="35"/>
    </row>
    <row r="84">
      <c r="B84" s="35"/>
      <c r="C84" s="35"/>
      <c r="D84" s="35"/>
      <c r="E84" s="35"/>
      <c r="F84" s="35"/>
      <c r="G84" s="35"/>
    </row>
    <row r="85">
      <c r="B85" s="35"/>
      <c r="C85" s="35"/>
      <c r="D85" s="35"/>
      <c r="E85" s="35"/>
      <c r="F85" s="35"/>
      <c r="G85" s="35"/>
    </row>
    <row r="86">
      <c r="B86" s="35"/>
      <c r="C86" s="35"/>
      <c r="D86" s="35"/>
      <c r="E86" s="35"/>
      <c r="F86" s="35"/>
      <c r="G86" s="35"/>
    </row>
    <row r="87">
      <c r="B87" s="35"/>
      <c r="C87" s="35"/>
      <c r="D87" s="35"/>
      <c r="E87" s="35"/>
      <c r="F87" s="35"/>
      <c r="G87" s="35"/>
    </row>
    <row r="88">
      <c r="B88" s="35"/>
      <c r="C88" s="35"/>
      <c r="D88" s="35"/>
      <c r="E88" s="35"/>
      <c r="F88" s="35"/>
      <c r="G88" s="35"/>
    </row>
    <row r="89">
      <c r="B89" s="35"/>
      <c r="C89" s="35"/>
      <c r="D89" s="35"/>
      <c r="E89" s="35"/>
      <c r="F89" s="35"/>
      <c r="G89" s="35"/>
    </row>
    <row r="90">
      <c r="B90" s="35"/>
      <c r="C90" s="35"/>
      <c r="D90" s="35"/>
      <c r="E90" s="35"/>
      <c r="F90" s="35"/>
      <c r="G90" s="35"/>
    </row>
    <row r="91">
      <c r="B91" s="35"/>
      <c r="C91" s="35"/>
      <c r="D91" s="35"/>
      <c r="E91" s="35"/>
      <c r="F91" s="35"/>
      <c r="G91" s="35"/>
    </row>
    <row r="92">
      <c r="B92" s="35"/>
      <c r="C92" s="35"/>
      <c r="D92" s="35"/>
      <c r="E92" s="35"/>
      <c r="F92" s="35"/>
      <c r="G92" s="35"/>
    </row>
    <row r="93">
      <c r="B93" s="35"/>
      <c r="C93" s="35"/>
      <c r="D93" s="35"/>
      <c r="E93" s="35"/>
      <c r="F93" s="35"/>
      <c r="G93" s="35"/>
    </row>
    <row r="94">
      <c r="B94" s="35"/>
      <c r="C94" s="35"/>
      <c r="D94" s="35"/>
      <c r="E94" s="35"/>
      <c r="F94" s="35"/>
      <c r="G94" s="35"/>
    </row>
    <row r="95">
      <c r="B95" s="35"/>
      <c r="C95" s="35"/>
      <c r="D95" s="35"/>
      <c r="E95" s="35"/>
      <c r="F95" s="35"/>
      <c r="G95" s="35"/>
    </row>
    <row r="96">
      <c r="B96" s="35"/>
      <c r="C96" s="35"/>
      <c r="D96" s="35"/>
      <c r="E96" s="35"/>
      <c r="F96" s="35"/>
      <c r="G96" s="35"/>
    </row>
    <row r="97">
      <c r="B97" s="35"/>
      <c r="C97" s="35"/>
      <c r="D97" s="35"/>
      <c r="E97" s="35"/>
      <c r="F97" s="35"/>
      <c r="G97" s="35"/>
    </row>
    <row r="98">
      <c r="B98" s="35"/>
      <c r="C98" s="35"/>
      <c r="D98" s="35"/>
      <c r="E98" s="35"/>
      <c r="F98" s="35"/>
      <c r="G98" s="35"/>
    </row>
    <row r="99">
      <c r="B99" s="35"/>
      <c r="C99" s="35"/>
      <c r="D99" s="35"/>
      <c r="E99" s="35"/>
      <c r="F99" s="35"/>
      <c r="G99" s="35"/>
    </row>
    <row r="100">
      <c r="B100" s="35"/>
      <c r="C100" s="35"/>
      <c r="D100" s="35"/>
      <c r="E100" s="35"/>
      <c r="F100" s="35"/>
      <c r="G100" s="35"/>
    </row>
    <row r="101">
      <c r="B101" s="35"/>
      <c r="C101" s="35"/>
      <c r="D101" s="35"/>
      <c r="E101" s="35"/>
      <c r="F101" s="35"/>
      <c r="G101" s="35"/>
    </row>
    <row r="102">
      <c r="B102" s="35"/>
      <c r="C102" s="35"/>
      <c r="D102" s="35"/>
      <c r="E102" s="35"/>
      <c r="F102" s="35"/>
      <c r="G102" s="35"/>
    </row>
    <row r="103">
      <c r="B103" s="35"/>
      <c r="C103" s="35"/>
      <c r="D103" s="35"/>
      <c r="E103" s="35"/>
      <c r="F103" s="35"/>
      <c r="G103" s="35"/>
    </row>
    <row r="104">
      <c r="B104" s="35"/>
      <c r="C104" s="35"/>
      <c r="D104" s="35"/>
      <c r="E104" s="35"/>
      <c r="F104" s="35"/>
      <c r="G104" s="35"/>
    </row>
    <row r="105">
      <c r="B105" s="35"/>
      <c r="C105" s="35"/>
      <c r="D105" s="35"/>
      <c r="E105" s="35"/>
      <c r="F105" s="35"/>
      <c r="G105" s="35"/>
    </row>
    <row r="106">
      <c r="B106" s="35"/>
      <c r="C106" s="35"/>
      <c r="D106" s="35"/>
      <c r="E106" s="35"/>
      <c r="F106" s="35"/>
      <c r="G106" s="35"/>
    </row>
    <row r="107">
      <c r="B107" s="35"/>
      <c r="C107" s="35"/>
      <c r="D107" s="35"/>
      <c r="E107" s="35"/>
      <c r="F107" s="35"/>
      <c r="G107" s="35"/>
    </row>
    <row r="108">
      <c r="B108" s="35"/>
      <c r="C108" s="35"/>
      <c r="D108" s="35"/>
      <c r="E108" s="35"/>
      <c r="F108" s="35"/>
      <c r="G108" s="35"/>
    </row>
    <row r="109">
      <c r="B109" s="35"/>
      <c r="C109" s="35"/>
      <c r="D109" s="35"/>
      <c r="E109" s="35"/>
      <c r="F109" s="35"/>
      <c r="G109" s="35"/>
    </row>
    <row r="110">
      <c r="B110" s="35"/>
      <c r="C110" s="35"/>
      <c r="D110" s="35"/>
      <c r="E110" s="35"/>
      <c r="F110" s="35"/>
      <c r="G110" s="35"/>
    </row>
    <row r="111">
      <c r="B111" s="35"/>
      <c r="C111" s="35"/>
      <c r="D111" s="35"/>
      <c r="E111" s="35"/>
      <c r="F111" s="35"/>
      <c r="G111" s="35"/>
    </row>
    <row r="112">
      <c r="B112" s="35"/>
      <c r="C112" s="35"/>
      <c r="D112" s="35"/>
      <c r="E112" s="35"/>
      <c r="F112" s="35"/>
      <c r="G112" s="35"/>
    </row>
    <row r="113">
      <c r="B113" s="35"/>
      <c r="C113" s="35"/>
      <c r="D113" s="35"/>
      <c r="E113" s="35"/>
      <c r="F113" s="35"/>
      <c r="G113" s="35"/>
    </row>
    <row r="114">
      <c r="B114" s="35"/>
      <c r="C114" s="35"/>
      <c r="D114" s="35"/>
      <c r="E114" s="35"/>
      <c r="F114" s="35"/>
      <c r="G114" s="35"/>
    </row>
    <row r="115">
      <c r="B115" s="35"/>
      <c r="C115" s="35"/>
      <c r="D115" s="35"/>
      <c r="E115" s="35"/>
      <c r="F115" s="35"/>
      <c r="G115" s="35"/>
    </row>
    <row r="116">
      <c r="B116" s="35"/>
      <c r="C116" s="35"/>
      <c r="D116" s="35"/>
      <c r="E116" s="35"/>
      <c r="F116" s="35"/>
      <c r="G116" s="35"/>
    </row>
    <row r="117">
      <c r="B117" s="35"/>
      <c r="C117" s="35"/>
      <c r="D117" s="35"/>
      <c r="E117" s="35"/>
      <c r="F117" s="35"/>
      <c r="G117" s="35"/>
    </row>
    <row r="118">
      <c r="B118" s="35"/>
      <c r="C118" s="35"/>
      <c r="D118" s="35"/>
      <c r="E118" s="35"/>
      <c r="F118" s="35"/>
      <c r="G118" s="35"/>
    </row>
    <row r="119">
      <c r="B119" s="35"/>
      <c r="C119" s="35"/>
      <c r="D119" s="35"/>
      <c r="E119" s="35"/>
      <c r="F119" s="35"/>
      <c r="G119" s="35"/>
    </row>
    <row r="120">
      <c r="B120" s="35"/>
      <c r="C120" s="35"/>
      <c r="D120" s="35"/>
      <c r="E120" s="35"/>
      <c r="F120" s="35"/>
      <c r="G120" s="35"/>
    </row>
    <row r="121">
      <c r="B121" s="35"/>
      <c r="C121" s="35"/>
      <c r="D121" s="35"/>
      <c r="E121" s="35"/>
      <c r="F121" s="35"/>
      <c r="G121" s="35"/>
    </row>
    <row r="122">
      <c r="B122" s="35"/>
      <c r="C122" s="35"/>
      <c r="D122" s="35"/>
      <c r="E122" s="35"/>
      <c r="F122" s="35"/>
      <c r="G122" s="35"/>
    </row>
    <row r="123">
      <c r="B123" s="35"/>
      <c r="C123" s="35"/>
      <c r="D123" s="35"/>
      <c r="E123" s="35"/>
      <c r="F123" s="35"/>
      <c r="G123" s="35"/>
    </row>
    <row r="124">
      <c r="B124" s="35"/>
      <c r="C124" s="35"/>
      <c r="D124" s="35"/>
      <c r="E124" s="35"/>
      <c r="F124" s="35"/>
      <c r="G124" s="35"/>
    </row>
    <row r="125">
      <c r="B125" s="35"/>
      <c r="C125" s="35"/>
      <c r="D125" s="35"/>
      <c r="E125" s="35"/>
      <c r="F125" s="35"/>
      <c r="G125" s="35"/>
    </row>
    <row r="126">
      <c r="B126" s="35"/>
      <c r="C126" s="35"/>
      <c r="D126" s="35"/>
      <c r="E126" s="35"/>
      <c r="F126" s="35"/>
      <c r="G126" s="35"/>
    </row>
    <row r="127">
      <c r="B127" s="35"/>
      <c r="C127" s="35"/>
      <c r="D127" s="35"/>
      <c r="E127" s="35"/>
      <c r="F127" s="35"/>
      <c r="G127" s="35"/>
    </row>
    <row r="128">
      <c r="B128" s="35"/>
      <c r="C128" s="35"/>
      <c r="D128" s="35"/>
      <c r="E128" s="35"/>
      <c r="F128" s="35"/>
      <c r="G128" s="35"/>
    </row>
    <row r="129">
      <c r="B129" s="35"/>
      <c r="C129" s="35"/>
      <c r="D129" s="35"/>
      <c r="E129" s="35"/>
      <c r="F129" s="35"/>
      <c r="G129" s="35"/>
    </row>
    <row r="130">
      <c r="B130" s="35"/>
      <c r="C130" s="35"/>
      <c r="D130" s="35"/>
      <c r="E130" s="35"/>
      <c r="F130" s="35"/>
      <c r="G130" s="35"/>
    </row>
    <row r="131">
      <c r="B131" s="35"/>
      <c r="C131" s="35"/>
      <c r="D131" s="35"/>
      <c r="E131" s="35"/>
      <c r="F131" s="35"/>
      <c r="G131" s="35"/>
    </row>
    <row r="132">
      <c r="B132" s="35"/>
      <c r="C132" s="35"/>
      <c r="D132" s="35"/>
      <c r="E132" s="35"/>
      <c r="F132" s="35"/>
      <c r="G132" s="35"/>
    </row>
    <row r="133">
      <c r="B133" s="35"/>
      <c r="C133" s="35"/>
      <c r="D133" s="35"/>
      <c r="E133" s="35"/>
      <c r="F133" s="35"/>
      <c r="G133" s="35"/>
    </row>
    <row r="134">
      <c r="B134" s="35"/>
      <c r="C134" s="35"/>
      <c r="D134" s="35"/>
      <c r="E134" s="35"/>
      <c r="F134" s="35"/>
      <c r="G134" s="35"/>
    </row>
    <row r="135">
      <c r="B135" s="35"/>
      <c r="C135" s="35"/>
      <c r="D135" s="35"/>
      <c r="E135" s="35"/>
      <c r="F135" s="35"/>
      <c r="G135" s="35"/>
    </row>
    <row r="136">
      <c r="B136" s="35"/>
      <c r="C136" s="35"/>
      <c r="D136" s="35"/>
      <c r="E136" s="35"/>
      <c r="F136" s="35"/>
      <c r="G136" s="35"/>
    </row>
    <row r="137">
      <c r="B137" s="35"/>
      <c r="C137" s="35"/>
      <c r="D137" s="35"/>
      <c r="E137" s="35"/>
      <c r="F137" s="35"/>
      <c r="G137" s="35"/>
    </row>
    <row r="138">
      <c r="B138" s="35"/>
      <c r="C138" s="35"/>
      <c r="D138" s="35"/>
      <c r="E138" s="35"/>
      <c r="F138" s="35"/>
      <c r="G138" s="35"/>
    </row>
    <row r="139">
      <c r="B139" s="35"/>
      <c r="C139" s="35"/>
      <c r="D139" s="35"/>
      <c r="E139" s="35"/>
      <c r="F139" s="35"/>
      <c r="G139" s="35"/>
    </row>
    <row r="140">
      <c r="B140" s="35"/>
      <c r="C140" s="35"/>
      <c r="D140" s="35"/>
      <c r="E140" s="35"/>
      <c r="F140" s="35"/>
      <c r="G140" s="35"/>
    </row>
    <row r="141">
      <c r="B141" s="35"/>
      <c r="C141" s="35"/>
      <c r="D141" s="35"/>
      <c r="E141" s="35"/>
      <c r="F141" s="35"/>
      <c r="G141" s="35"/>
    </row>
    <row r="142">
      <c r="B142" s="35"/>
      <c r="C142" s="35"/>
      <c r="D142" s="35"/>
      <c r="E142" s="35"/>
      <c r="F142" s="35"/>
      <c r="G142" s="35"/>
    </row>
    <row r="143">
      <c r="B143" s="35"/>
      <c r="C143" s="35"/>
      <c r="D143" s="35"/>
      <c r="E143" s="35"/>
      <c r="F143" s="35"/>
      <c r="G143" s="35"/>
    </row>
    <row r="144">
      <c r="B144" s="35"/>
      <c r="C144" s="35"/>
      <c r="D144" s="35"/>
      <c r="E144" s="35"/>
      <c r="F144" s="35"/>
      <c r="G144" s="35"/>
    </row>
    <row r="145">
      <c r="B145" s="35"/>
      <c r="C145" s="35"/>
      <c r="D145" s="35"/>
      <c r="E145" s="35"/>
      <c r="F145" s="35"/>
      <c r="G145" s="35"/>
    </row>
    <row r="146">
      <c r="B146" s="35"/>
      <c r="C146" s="35"/>
      <c r="D146" s="35"/>
      <c r="E146" s="35"/>
      <c r="F146" s="35"/>
      <c r="G146" s="35"/>
    </row>
    <row r="147">
      <c r="B147" s="35"/>
      <c r="C147" s="35"/>
      <c r="D147" s="35"/>
      <c r="E147" s="35"/>
      <c r="F147" s="35"/>
      <c r="G147" s="35"/>
    </row>
    <row r="148">
      <c r="B148" s="35"/>
      <c r="C148" s="35"/>
      <c r="D148" s="35"/>
      <c r="E148" s="35"/>
      <c r="F148" s="35"/>
      <c r="G148" s="35"/>
    </row>
    <row r="149">
      <c r="B149" s="35"/>
      <c r="C149" s="35"/>
      <c r="D149" s="35"/>
      <c r="E149" s="35"/>
      <c r="F149" s="35"/>
      <c r="G149" s="35"/>
    </row>
    <row r="150">
      <c r="B150" s="35"/>
      <c r="C150" s="35"/>
      <c r="D150" s="35"/>
      <c r="E150" s="35"/>
      <c r="F150" s="35"/>
      <c r="G150" s="35"/>
    </row>
    <row r="151">
      <c r="B151" s="35"/>
      <c r="C151" s="35"/>
      <c r="D151" s="35"/>
      <c r="E151" s="35"/>
      <c r="F151" s="35"/>
      <c r="G151" s="35"/>
    </row>
    <row r="152">
      <c r="B152" s="35"/>
      <c r="C152" s="35"/>
      <c r="D152" s="35"/>
      <c r="E152" s="35"/>
      <c r="F152" s="35"/>
      <c r="G152" s="35"/>
    </row>
    <row r="153">
      <c r="B153" s="35"/>
      <c r="C153" s="35"/>
      <c r="D153" s="35"/>
      <c r="E153" s="35"/>
      <c r="F153" s="35"/>
      <c r="G153" s="35"/>
    </row>
    <row r="154">
      <c r="B154" s="35"/>
      <c r="C154" s="35"/>
      <c r="D154" s="35"/>
      <c r="E154" s="35"/>
      <c r="F154" s="35"/>
      <c r="G154" s="35"/>
    </row>
    <row r="155">
      <c r="B155" s="35"/>
      <c r="C155" s="35"/>
      <c r="D155" s="35"/>
      <c r="E155" s="35"/>
      <c r="F155" s="35"/>
      <c r="G155" s="35"/>
    </row>
    <row r="156">
      <c r="B156" s="35"/>
      <c r="C156" s="35"/>
      <c r="D156" s="35"/>
      <c r="E156" s="35"/>
      <c r="F156" s="35"/>
      <c r="G156" s="35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17.0"/>
    <col customWidth="1" min="3" max="3" width="17.13"/>
    <col customWidth="1" min="4" max="4" width="16.0"/>
    <col customWidth="1" min="5" max="5" width="15.38"/>
    <col customWidth="1" min="6" max="6" width="17.5"/>
    <col customWidth="1" min="7" max="7" width="12.88"/>
    <col customWidth="1" min="8" max="8" width="14.0"/>
  </cols>
  <sheetData>
    <row r="1">
      <c r="A1" s="36" t="s">
        <v>42</v>
      </c>
      <c r="B1" s="37"/>
      <c r="C1" s="8"/>
    </row>
    <row r="2">
      <c r="A2" s="38" t="s">
        <v>43</v>
      </c>
      <c r="B2" s="39">
        <v>46082.0</v>
      </c>
      <c r="C2" s="30">
        <f t="shared" ref="C2:H2" si="1">B2+1</f>
        <v>46083</v>
      </c>
      <c r="D2" s="30">
        <f t="shared" si="1"/>
        <v>46084</v>
      </c>
      <c r="E2" s="30">
        <f t="shared" si="1"/>
        <v>46085</v>
      </c>
      <c r="F2" s="30">
        <f t="shared" si="1"/>
        <v>46086</v>
      </c>
      <c r="G2" s="30">
        <f t="shared" si="1"/>
        <v>46087</v>
      </c>
      <c r="H2" s="30">
        <f t="shared" si="1"/>
        <v>46088</v>
      </c>
    </row>
    <row r="3">
      <c r="A3" s="40"/>
      <c r="B3" s="41" t="s">
        <v>44</v>
      </c>
      <c r="C3" s="41" t="s">
        <v>45</v>
      </c>
      <c r="D3" s="41" t="s">
        <v>46</v>
      </c>
      <c r="E3" s="41" t="s">
        <v>47</v>
      </c>
      <c r="F3" s="41" t="s">
        <v>48</v>
      </c>
      <c r="G3" s="41" t="s">
        <v>49</v>
      </c>
      <c r="H3" s="42" t="s">
        <v>50</v>
      </c>
      <c r="I3" s="43" t="s">
        <v>51</v>
      </c>
      <c r="J3" s="43" t="s">
        <v>52</v>
      </c>
    </row>
    <row r="4" ht="30.75" customHeight="1">
      <c r="A4" s="44" t="s">
        <v>53</v>
      </c>
      <c r="B4" s="33">
        <v>254.0</v>
      </c>
      <c r="C4" s="33">
        <v>253.4</v>
      </c>
      <c r="D4" s="33">
        <v>253.3</v>
      </c>
      <c r="E4" s="33">
        <v>252.1</v>
      </c>
      <c r="F4" s="33"/>
      <c r="G4" s="33"/>
      <c r="H4" s="33"/>
      <c r="I4" s="45">
        <f t="shared" ref="I4:I5" si="2">AVERAGE(B4:H4)</f>
        <v>253.2</v>
      </c>
      <c r="J4" s="46"/>
    </row>
    <row r="5" ht="35.25" customHeight="1">
      <c r="A5" s="47" t="s">
        <v>54</v>
      </c>
      <c r="B5" s="48">
        <v>1932.0</v>
      </c>
      <c r="C5" s="48">
        <v>1396.0</v>
      </c>
      <c r="D5" s="48">
        <v>985.0</v>
      </c>
      <c r="E5" s="48"/>
      <c r="F5" s="48"/>
      <c r="G5" s="48"/>
      <c r="H5" s="48"/>
      <c r="I5" s="45">
        <f t="shared" si="2"/>
        <v>1437.666667</v>
      </c>
      <c r="J5" s="45">
        <f>(B5)+(C5)+(D5)+(E5)+(F5)+(G5)+(H5)</f>
        <v>4313</v>
      </c>
    </row>
  </sheetData>
  <drawing r:id="rId1"/>
</worksheet>
</file>